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009553a5688ab78/Documents/Desktop/Bytecode_training/"/>
    </mc:Choice>
  </mc:AlternateContent>
  <xr:revisionPtr revIDLastSave="3" documentId="11_CD756894645FB936B455ACD68D37F3B4289735EE" xr6:coauthVersionLast="47" xr6:coauthVersionMax="47" xr10:uidLastSave="{C8F3B225-BB7D-4D05-B508-CAD9152E4C25}"/>
  <bookViews>
    <workbookView xWindow="-108" yWindow="-108" windowWidth="23256" windowHeight="12456" activeTab="2" xr2:uid="{00000000-000D-0000-FFFF-FFFF00000000}"/>
  </bookViews>
  <sheets>
    <sheet name="If &amp; Ifs Notes" sheetId="4" r:id="rId1"/>
    <sheet name="Conditional Functions DAtaset" sheetId="3" r:id="rId2"/>
    <sheet name="Sheet1" sheetId="5" r:id="rId3"/>
    <sheet name="Table Calculation" sheetId="1" r:id="rId4"/>
    <sheet name="Cell Reference Data" sheetId="2" r:id="rId5"/>
  </sheets>
  <definedNames>
    <definedName name="_xlnm._FilterDatabase" localSheetId="1" hidden="1">'Conditional Functions DAtaset'!$H$13:$I$17</definedName>
    <definedName name="Category">'Conditional Functions DAtaset'!$E$2:$E$1048576</definedName>
    <definedName name="Cust_Name">'Conditional Functions DAtaset'!$C$2:$C$1048576</definedName>
    <definedName name="Region">'Conditional Functions DAtaset'!$D$2:$D$1048576</definedName>
    <definedName name="Sale_datas">'Conditional Functions DAtaset'!$C:$F</definedName>
    <definedName name="Sales">'Conditional Functions DAtaset'!$F$2:$F$1048576</definedName>
    <definedName name="sum">'Cell Reference Data'!$F:$F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2" l="1"/>
  <c r="K9" i="2"/>
  <c r="J9" i="2"/>
  <c r="I9" i="2"/>
  <c r="L5" i="2"/>
  <c r="K5" i="2"/>
  <c r="J5" i="2"/>
  <c r="I5" i="2"/>
  <c r="H5" i="2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F15" i="1"/>
  <c r="F14" i="1"/>
  <c r="F13" i="1"/>
  <c r="F12" i="1"/>
  <c r="F11" i="1"/>
  <c r="F10" i="1"/>
  <c r="F9" i="1"/>
  <c r="F8" i="1"/>
  <c r="F7" i="1"/>
  <c r="F6" i="1"/>
  <c r="O3" i="1"/>
  <c r="N3" i="1"/>
  <c r="M3" i="1"/>
  <c r="L3" i="1"/>
  <c r="K3" i="1"/>
  <c r="J3" i="1"/>
  <c r="I3" i="1"/>
  <c r="H3" i="1"/>
  <c r="G3" i="1"/>
  <c r="F3" i="1"/>
  <c r="I17" i="3"/>
  <c r="I16" i="3"/>
  <c r="I15" i="3"/>
  <c r="I14" i="3"/>
  <c r="O11" i="3" a="1"/>
  <c r="O11" i="3"/>
  <c r="N11" i="3" a="1"/>
  <c r="N11" i="3"/>
  <c r="M11" i="3" a="1"/>
  <c r="M11" i="3"/>
  <c r="L11" i="3" a="1"/>
  <c r="L11" i="3"/>
  <c r="I11" i="3"/>
  <c r="O10" i="3" a="1"/>
  <c r="O10" i="3"/>
  <c r="N10" i="3" a="1"/>
  <c r="N10" i="3"/>
  <c r="M10" i="3" a="1"/>
  <c r="M10" i="3"/>
  <c r="L10" i="3" a="1"/>
  <c r="L10" i="3"/>
  <c r="I10" i="3"/>
  <c r="O9" i="3" a="1"/>
  <c r="O9" i="3"/>
  <c r="N9" i="3" a="1"/>
  <c r="N9" i="3"/>
  <c r="M9" i="3" a="1"/>
  <c r="M9" i="3"/>
  <c r="L9" i="3" a="1"/>
  <c r="L9" i="3"/>
  <c r="I9" i="3"/>
  <c r="O8" i="3" a="1"/>
  <c r="O8" i="3"/>
  <c r="N8" i="3" a="1"/>
  <c r="N8" i="3"/>
  <c r="M8" i="3" a="1"/>
  <c r="M8" i="3"/>
  <c r="L8" i="3" a="1"/>
  <c r="L8" i="3"/>
  <c r="I8" i="3"/>
  <c r="I7" i="3"/>
  <c r="P5" i="3" a="1"/>
  <c r="P5" i="3"/>
  <c r="O5" i="3" a="1"/>
  <c r="O5" i="3"/>
  <c r="N5" i="3" a="1"/>
  <c r="N5" i="3"/>
  <c r="M5" i="3" a="1"/>
  <c r="M5" i="3"/>
  <c r="L5" i="3" a="1"/>
  <c r="L5" i="3"/>
  <c r="P4" i="3" a="1"/>
  <c r="P4" i="3"/>
  <c r="O4" i="3" a="1"/>
  <c r="O4" i="3"/>
  <c r="N4" i="3" a="1"/>
  <c r="N4" i="3"/>
  <c r="M4" i="3" a="1"/>
  <c r="M4" i="3"/>
  <c r="L4" i="3" a="1"/>
  <c r="L4" i="3"/>
  <c r="P3" i="3" a="1"/>
  <c r="P3" i="3"/>
  <c r="O3" i="3" a="1"/>
  <c r="O3" i="3"/>
  <c r="N3" i="3" a="1"/>
  <c r="N3" i="3"/>
  <c r="M3" i="3" a="1"/>
  <c r="M3" i="3"/>
  <c r="L3" i="3" a="1"/>
  <c r="L3" i="3"/>
  <c r="P2" i="3" a="1"/>
  <c r="P2" i="3"/>
  <c r="O2" i="3" a="1"/>
  <c r="O2" i="3"/>
  <c r="N2" i="3" a="1"/>
  <c r="N2" i="3"/>
  <c r="M2" i="3" a="1"/>
  <c r="M2" i="3"/>
  <c r="L2" i="3" a="1"/>
  <c r="L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<sst xmlns="http://schemas.openxmlformats.org/spreadsheetml/2006/main" count="371" uniqueCount="92">
  <si>
    <t>"Conditional Aggregate Functions in Excel (IF &amp; IFS Functions)"</t>
  </si>
  <si>
    <t>IF --&gt; Single Condition Logic</t>
  </si>
  <si>
    <t>=IF(condition, value_if_true, value_if_false)</t>
  </si>
  <si>
    <t>IFS --&gt; Multiple Condition Logic</t>
  </si>
  <si>
    <t>=IFS(condition1, result1, condition2, result2, ...)</t>
  </si>
  <si>
    <t>Topics</t>
  </si>
  <si>
    <t>SUMIF / SUMIFS</t>
  </si>
  <si>
    <t>COUNTIF / COUNTIFS</t>
  </si>
  <si>
    <t>AVERAGEIF / AVERAGEIFS</t>
  </si>
  <si>
    <t>MAXIFS, MINIFS</t>
  </si>
  <si>
    <t>Function</t>
  </si>
  <si>
    <t>Purpose</t>
  </si>
  <si>
    <t>Syntax</t>
  </si>
  <si>
    <t>Explanation</t>
  </si>
  <si>
    <t>Conditions</t>
  </si>
  <si>
    <t>SUM</t>
  </si>
  <si>
    <t>Adds all numbers in a range.</t>
  </si>
  <si>
    <t>=SUM(range)</t>
  </si>
  <si>
    <t>None</t>
  </si>
  <si>
    <t>SUMIF</t>
  </si>
  <si>
    <t>Adds numbers based on one condition.</t>
  </si>
  <si>
    <t>=SUMIF(range, criteria, sum_range)</t>
  </si>
  <si>
    <t>1. range → where to apply condition
2. criteria → what condition to apply
3. sum_range → what to sum</t>
  </si>
  <si>
    <t>One Condition</t>
  </si>
  <si>
    <t>SUMIFS</t>
  </si>
  <si>
    <t>Adds numbers based on multiple conditions.</t>
  </si>
  <si>
    <t>=SUMIFS(sum_range, criteria_range1, criteria1, [criteria_range2, criteria2], ...)</t>
  </si>
  <si>
    <t>More than one condition</t>
  </si>
  <si>
    <t>IFS-Subtopic</t>
  </si>
  <si>
    <t>Add values based on multiple conditions</t>
  </si>
  <si>
    <t>AVERAGEIFS</t>
  </si>
  <si>
    <t>Calculate average with multiple conditions</t>
  </si>
  <si>
    <t>COUNTIFS</t>
  </si>
  <si>
    <t>Count items based on multiple conditions</t>
  </si>
  <si>
    <t>MAXIFS</t>
  </si>
  <si>
    <t>Return the maximum value that meets all conditions</t>
  </si>
  <si>
    <t>MINIFS</t>
  </si>
  <si>
    <t>Return the minimum value that meets all conditions</t>
  </si>
  <si>
    <t>IF- SubTopic</t>
  </si>
  <si>
    <r>
      <rPr>
        <sz val="11"/>
        <color theme="1"/>
        <rFont val="Calibri"/>
        <charset val="134"/>
        <scheme val="minor"/>
      </rPr>
      <t xml:space="preserve">Add values with </t>
    </r>
    <r>
      <rPr>
        <b/>
        <sz val="11"/>
        <color theme="1"/>
        <rFont val="Calibri"/>
        <charset val="134"/>
        <scheme val="minor"/>
      </rPr>
      <t>one condition</t>
    </r>
  </si>
  <si>
    <t>COUNTIF</t>
  </si>
  <si>
    <r>
      <rPr>
        <sz val="11"/>
        <color theme="1"/>
        <rFont val="Calibri"/>
        <charset val="134"/>
        <scheme val="minor"/>
      </rPr>
      <t xml:space="preserve">Count cells with </t>
    </r>
    <r>
      <rPr>
        <b/>
        <sz val="11"/>
        <color theme="1"/>
        <rFont val="Calibri"/>
        <charset val="134"/>
        <scheme val="minor"/>
      </rPr>
      <t>one condition</t>
    </r>
  </si>
  <si>
    <t>AVERAGEIF</t>
  </si>
  <si>
    <t>Average based on one condition</t>
  </si>
  <si>
    <t>S.NO</t>
  </si>
  <si>
    <t>Cust_Name</t>
  </si>
  <si>
    <t>Region</t>
  </si>
  <si>
    <t>Category</t>
  </si>
  <si>
    <t>Sales</t>
  </si>
  <si>
    <t>Conditional Functions</t>
  </si>
  <si>
    <t>SUMIF/ SUMIFS</t>
  </si>
  <si>
    <t xml:space="preserve"> </t>
  </si>
  <si>
    <t>Cust Name</t>
  </si>
  <si>
    <t>Total_Sales</t>
  </si>
  <si>
    <t>Average_Sales</t>
  </si>
  <si>
    <t>No_Of_Orders</t>
  </si>
  <si>
    <t>Min_Sale</t>
  </si>
  <si>
    <t>Max_Sale</t>
  </si>
  <si>
    <t>Ravi</t>
  </si>
  <si>
    <t>South</t>
  </si>
  <si>
    <t>Electronics</t>
  </si>
  <si>
    <t>COUNTIF/ COUNTIFS</t>
  </si>
  <si>
    <t>Anjali</t>
  </si>
  <si>
    <t>North</t>
  </si>
  <si>
    <t>Fashion</t>
  </si>
  <si>
    <t>Kiran</t>
  </si>
  <si>
    <t>Meena</t>
  </si>
  <si>
    <t>East</t>
  </si>
  <si>
    <t>West</t>
  </si>
  <si>
    <t>Accessories</t>
  </si>
  <si>
    <t>Total Sales by Ravi</t>
  </si>
  <si>
    <t>How many times Ravi ordered</t>
  </si>
  <si>
    <t>Average sales of SOUTH region</t>
  </si>
  <si>
    <t>Highest sales in ELECTRONICS</t>
  </si>
  <si>
    <t>Lowest sales in FASHION</t>
  </si>
  <si>
    <t>Multiple Conditions</t>
  </si>
  <si>
    <t>Sales of Ravi in South</t>
  </si>
  <si>
    <t>Count No of orders for Electronics from south region</t>
  </si>
  <si>
    <t>Average sales for category fashion and north region</t>
  </si>
  <si>
    <t>Count No of sales where sales &gt;5000</t>
  </si>
  <si>
    <t>Name</t>
  </si>
  <si>
    <t>KPIS SUMMARY</t>
  </si>
  <si>
    <t>AVG</t>
  </si>
  <si>
    <t>MIN</t>
  </si>
  <si>
    <t>MAX</t>
  </si>
  <si>
    <t>COUNT</t>
  </si>
  <si>
    <t>TARGET ACHIEVEMENT TRACKER</t>
  </si>
  <si>
    <t>Target</t>
  </si>
  <si>
    <t>Target Achieved</t>
  </si>
  <si>
    <t>Target Achieved %</t>
  </si>
  <si>
    <t>Remaining Taget</t>
  </si>
  <si>
    <t>Remaining Target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</si>
</sst>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5" tint="-0.249977111117893"/>
      </left>
      <right style="thin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thin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11" xfId="0" applyBorder="1"/>
    <xf numFmtId="0" fontId="0" fillId="0" borderId="12" xfId="0" applyBorder="1"/>
    <xf numFmtId="9" fontId="0" fillId="0" borderId="12" xfId="1" applyFont="1" applyBorder="1"/>
    <xf numFmtId="9" fontId="0" fillId="0" borderId="13" xfId="1" applyFont="1" applyBorder="1"/>
    <xf numFmtId="0" fontId="0" fillId="4" borderId="0" xfId="0" applyFill="1"/>
    <xf numFmtId="0" fontId="0" fillId="0" borderId="15" xfId="0" applyBorder="1"/>
    <xf numFmtId="0" fontId="1" fillId="4" borderId="1" xfId="0" applyFont="1" applyFill="1" applyBorder="1"/>
    <xf numFmtId="0" fontId="0" fillId="0" borderId="17" xfId="0" applyBorder="1"/>
    <xf numFmtId="2" fontId="0" fillId="0" borderId="1" xfId="0" applyNumberFormat="1" applyBorder="1"/>
    <xf numFmtId="0" fontId="0" fillId="0" borderId="19" xfId="0" applyBorder="1"/>
    <xf numFmtId="0" fontId="1" fillId="0" borderId="1" xfId="0" applyFont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4" borderId="22" xfId="0" applyFont="1" applyFill="1" applyBorder="1"/>
    <xf numFmtId="0" fontId="0" fillId="0" borderId="23" xfId="0" applyBorder="1"/>
    <xf numFmtId="0" fontId="1" fillId="5" borderId="23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5" borderId="1" xfId="0" applyFont="1" applyFill="1" applyBorder="1"/>
    <xf numFmtId="0" fontId="0" fillId="0" borderId="23" xfId="0" quotePrefix="1" applyBorder="1"/>
    <xf numFmtId="0" fontId="0" fillId="0" borderId="1" xfId="0" quotePrefix="1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29"/>
  <sheetViews>
    <sheetView showGridLines="0" topLeftCell="A2" zoomScale="77" zoomScaleNormal="77" workbookViewId="0">
      <selection activeCell="O8" sqref="O8"/>
    </sheetView>
  </sheetViews>
  <sheetFormatPr defaultColWidth="9" defaultRowHeight="14.4"/>
  <cols>
    <col min="3" max="3" width="88.88671875" customWidth="1"/>
    <col min="4" max="4" width="48.5546875" customWidth="1"/>
    <col min="5" max="5" width="38.5546875" customWidth="1"/>
    <col min="6" max="6" width="37" customWidth="1"/>
    <col min="7" max="7" width="14" customWidth="1"/>
  </cols>
  <sheetData>
    <row r="2" spans="3:16" ht="23.4">
      <c r="C2" s="23" t="s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</row>
    <row r="4" spans="3:16">
      <c r="C4" s="26" t="s">
        <v>1</v>
      </c>
      <c r="D4" s="38" t="s">
        <v>2</v>
      </c>
    </row>
    <row r="5" spans="3:16">
      <c r="C5" s="26" t="s">
        <v>3</v>
      </c>
      <c r="D5" s="26" t="s">
        <v>4</v>
      </c>
    </row>
    <row r="7" spans="3:16">
      <c r="C7" s="27" t="s">
        <v>5</v>
      </c>
    </row>
    <row r="8" spans="3:16">
      <c r="C8" s="26" t="s">
        <v>6</v>
      </c>
    </row>
    <row r="9" spans="3:16">
      <c r="C9" s="26" t="s">
        <v>7</v>
      </c>
    </row>
    <row r="10" spans="3:16">
      <c r="C10" s="26" t="s">
        <v>8</v>
      </c>
    </row>
    <row r="11" spans="3:16">
      <c r="C11" s="26" t="s">
        <v>9</v>
      </c>
    </row>
    <row r="13" spans="3:16" ht="15.6">
      <c r="C13" s="28" t="s">
        <v>10</v>
      </c>
      <c r="D13" s="28" t="s">
        <v>11</v>
      </c>
      <c r="E13" s="28" t="s">
        <v>12</v>
      </c>
      <c r="F13" s="28" t="s">
        <v>13</v>
      </c>
      <c r="G13" s="28" t="s">
        <v>14</v>
      </c>
    </row>
    <row r="14" spans="3:16" ht="26.25" customHeight="1">
      <c r="C14" s="29" t="s">
        <v>15</v>
      </c>
      <c r="D14" s="30" t="s">
        <v>16</v>
      </c>
      <c r="E14" s="39" t="s">
        <v>17</v>
      </c>
      <c r="F14" s="31"/>
      <c r="G14" s="31" t="s">
        <v>18</v>
      </c>
    </row>
    <row r="15" spans="3:16" ht="43.2">
      <c r="C15" s="32" t="s">
        <v>19</v>
      </c>
      <c r="D15" s="33" t="s">
        <v>20</v>
      </c>
      <c r="E15" s="40" t="s">
        <v>21</v>
      </c>
      <c r="F15" s="34" t="s">
        <v>22</v>
      </c>
      <c r="G15" s="33" t="s">
        <v>23</v>
      </c>
    </row>
    <row r="16" spans="3:16" ht="28.8">
      <c r="C16" s="35" t="s">
        <v>24</v>
      </c>
      <c r="D16" s="36" t="s">
        <v>25</v>
      </c>
      <c r="E16" s="36" t="s">
        <v>26</v>
      </c>
      <c r="F16" s="2"/>
      <c r="G16" s="36" t="s">
        <v>27</v>
      </c>
    </row>
    <row r="19" spans="3:4">
      <c r="C19" s="37" t="s">
        <v>28</v>
      </c>
      <c r="D19" s="37" t="s">
        <v>13</v>
      </c>
    </row>
    <row r="20" spans="3:4">
      <c r="C20" s="2" t="s">
        <v>24</v>
      </c>
      <c r="D20" s="2" t="s">
        <v>29</v>
      </c>
    </row>
    <row r="21" spans="3:4">
      <c r="C21" s="2" t="s">
        <v>30</v>
      </c>
      <c r="D21" s="2" t="s">
        <v>31</v>
      </c>
    </row>
    <row r="22" spans="3:4">
      <c r="C22" s="2" t="s">
        <v>32</v>
      </c>
      <c r="D22" s="2" t="s">
        <v>33</v>
      </c>
    </row>
    <row r="23" spans="3:4">
      <c r="C23" s="2" t="s">
        <v>34</v>
      </c>
      <c r="D23" s="2" t="s">
        <v>35</v>
      </c>
    </row>
    <row r="24" spans="3:4">
      <c r="C24" s="2" t="s">
        <v>36</v>
      </c>
      <c r="D24" s="2" t="s">
        <v>37</v>
      </c>
    </row>
    <row r="26" spans="3:4">
      <c r="C26" s="37" t="s">
        <v>38</v>
      </c>
      <c r="D26" s="37" t="s">
        <v>13</v>
      </c>
    </row>
    <row r="27" spans="3:4">
      <c r="C27" s="2" t="s">
        <v>19</v>
      </c>
      <c r="D27" s="2" t="s">
        <v>39</v>
      </c>
    </row>
    <row r="28" spans="3:4">
      <c r="C28" s="2" t="s">
        <v>40</v>
      </c>
      <c r="D28" s="2" t="s">
        <v>41</v>
      </c>
    </row>
    <row r="29" spans="3:4">
      <c r="C29" s="2" t="s">
        <v>42</v>
      </c>
      <c r="D29" s="2" t="s">
        <v>43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7"/>
  <sheetViews>
    <sheetView showGridLines="0" topLeftCell="A24" workbookViewId="0">
      <selection activeCell="C1" sqref="C1:C38"/>
    </sheetView>
  </sheetViews>
  <sheetFormatPr defaultColWidth="9" defaultRowHeight="14.4"/>
  <cols>
    <col min="5" max="5" width="14" customWidth="1"/>
    <col min="8" max="8" width="47.6640625" customWidth="1"/>
    <col min="9" max="9" width="29.77734375" customWidth="1"/>
    <col min="11" max="16" width="13.6640625" customWidth="1"/>
  </cols>
  <sheetData>
    <row r="1" spans="2:16"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H1" s="41" t="s">
        <v>49</v>
      </c>
      <c r="I1" s="17" t="s">
        <v>50</v>
      </c>
      <c r="J1" t="s">
        <v>51</v>
      </c>
      <c r="K1" s="18" t="s">
        <v>52</v>
      </c>
      <c r="L1" s="18" t="s">
        <v>53</v>
      </c>
      <c r="M1" s="18" t="s">
        <v>54</v>
      </c>
      <c r="N1" s="18" t="s">
        <v>55</v>
      </c>
      <c r="O1" s="18" t="s">
        <v>56</v>
      </c>
      <c r="P1" s="18" t="s">
        <v>57</v>
      </c>
    </row>
    <row r="2" spans="2:16">
      <c r="B2" s="2">
        <v>1</v>
      </c>
      <c r="C2" s="2" t="s">
        <v>58</v>
      </c>
      <c r="D2" s="2" t="s">
        <v>59</v>
      </c>
      <c r="E2" s="2" t="s">
        <v>60</v>
      </c>
      <c r="F2" s="2">
        <v>7899</v>
      </c>
      <c r="H2" s="42"/>
      <c r="I2" s="19" t="s">
        <v>61</v>
      </c>
      <c r="K2" s="2" t="s">
        <v>62</v>
      </c>
      <c r="L2" s="2" cm="1">
        <f t="array" ref="L2">SUMIF(Cust_Name,K2,Sales)</f>
        <v>27881</v>
      </c>
      <c r="M2" s="20" cm="1">
        <f t="array" ref="M2">AVERAGEIF(Cust_Name,K2,Sales)</f>
        <v>4646.8333333333303</v>
      </c>
      <c r="N2" s="2" cm="1">
        <f t="array" ref="N2">COUNTIF(Cust_Name,K2)</f>
        <v>6</v>
      </c>
      <c r="O2" s="2" cm="1">
        <f t="array" ref="O2">_xlfn.MINIFS(Sales,Cust_Name,K2)</f>
        <v>1682</v>
      </c>
      <c r="P2" s="2" cm="1">
        <f t="array" ref="P2">_xlfn.MAXIFS(Sales,Cust_Name,K2)</f>
        <v>7830</v>
      </c>
    </row>
    <row r="3" spans="2:16">
      <c r="B3" s="2">
        <v>2</v>
      </c>
      <c r="C3" s="2" t="s">
        <v>62</v>
      </c>
      <c r="D3" s="2" t="s">
        <v>63</v>
      </c>
      <c r="E3" s="2" t="s">
        <v>64</v>
      </c>
      <c r="F3" s="2">
        <v>6146</v>
      </c>
      <c r="H3" s="42"/>
      <c r="I3" s="19" t="s">
        <v>8</v>
      </c>
      <c r="K3" s="2" t="s">
        <v>65</v>
      </c>
      <c r="L3" s="2" cm="1">
        <f t="array" ref="L3">SUMIF(Cust_Name,K3,Sales)</f>
        <v>23362</v>
      </c>
      <c r="M3" s="20" cm="1">
        <f t="array" ref="M3">AVERAGEIF(Cust_Name,K3,Sales)</f>
        <v>3893.6666666666702</v>
      </c>
      <c r="N3" s="2" cm="1">
        <f t="array" ref="N3">COUNTIF(Cust_Name,K3)</f>
        <v>6</v>
      </c>
      <c r="O3" s="2" cm="1">
        <f t="array" ref="O3">_xlfn.MINIFS(Sales,Cust_Name,K3)</f>
        <v>2087</v>
      </c>
      <c r="P3" s="2" cm="1">
        <f t="array" ref="P3">_xlfn.MAXIFS(Sales,Cust_Name,K3)</f>
        <v>8044</v>
      </c>
    </row>
    <row r="4" spans="2:16">
      <c r="B4" s="2">
        <v>3</v>
      </c>
      <c r="C4" s="2" t="s">
        <v>58</v>
      </c>
      <c r="D4" s="2" t="s">
        <v>59</v>
      </c>
      <c r="E4" s="2" t="s">
        <v>60</v>
      </c>
      <c r="F4" s="2">
        <v>8196</v>
      </c>
      <c r="H4" s="42"/>
      <c r="I4" s="19" t="s">
        <v>34</v>
      </c>
      <c r="K4" s="2" t="s">
        <v>66</v>
      </c>
      <c r="L4" s="2" cm="1">
        <f t="array" ref="L4">SUMIF(Cust_Name,K4,Sales)</f>
        <v>38906</v>
      </c>
      <c r="M4" s="20" cm="1">
        <f t="array" ref="M4">AVERAGEIF(Cust_Name,K4,Sales)</f>
        <v>6484.3333333333303</v>
      </c>
      <c r="N4" s="2" cm="1">
        <f t="array" ref="N4">COUNTIF(Cust_Name,K4)</f>
        <v>6</v>
      </c>
      <c r="O4" s="2" cm="1">
        <f t="array" ref="O4">_xlfn.MINIFS(Sales,Cust_Name,K4)</f>
        <v>4589</v>
      </c>
      <c r="P4" s="2" cm="1">
        <f t="array" ref="P4">_xlfn.MAXIFS(Sales,Cust_Name,K4)</f>
        <v>9166</v>
      </c>
    </row>
    <row r="5" spans="2:16">
      <c r="B5" s="2">
        <v>4</v>
      </c>
      <c r="C5" s="2" t="s">
        <v>66</v>
      </c>
      <c r="D5" s="2" t="s">
        <v>67</v>
      </c>
      <c r="E5" s="2" t="s">
        <v>64</v>
      </c>
      <c r="F5" s="2">
        <v>5821</v>
      </c>
      <c r="H5" s="43"/>
      <c r="I5" s="21" t="s">
        <v>36</v>
      </c>
      <c r="K5" s="2" t="s">
        <v>58</v>
      </c>
      <c r="L5" s="2" cm="1">
        <f t="array" ref="L5">SUMIF(Cust_Name,K5,Sales)</f>
        <v>101749</v>
      </c>
      <c r="M5" s="20" cm="1">
        <f t="array" ref="M5">AVERAGEIF(Cust_Name,K5,Sales)</f>
        <v>5652.7222222222199</v>
      </c>
      <c r="N5" s="2" cm="1">
        <f t="array" ref="N5">COUNTIF(Cust_Name,K5)</f>
        <v>18</v>
      </c>
      <c r="O5" s="2" cm="1">
        <f t="array" ref="O5">_xlfn.MINIFS(Sales,Cust_Name,K5)</f>
        <v>1309</v>
      </c>
      <c r="P5" s="2" cm="1">
        <f t="array" ref="P5">_xlfn.MAXIFS(Sales,Cust_Name,K5)</f>
        <v>9058</v>
      </c>
    </row>
    <row r="6" spans="2:16">
      <c r="B6" s="2">
        <v>5</v>
      </c>
      <c r="C6" s="2" t="s">
        <v>65</v>
      </c>
      <c r="D6" s="2" t="s">
        <v>68</v>
      </c>
      <c r="E6" s="2" t="s">
        <v>69</v>
      </c>
      <c r="F6" s="2">
        <v>2087</v>
      </c>
    </row>
    <row r="7" spans="2:16">
      <c r="B7" s="2">
        <v>6</v>
      </c>
      <c r="C7" s="2" t="s">
        <v>58</v>
      </c>
      <c r="D7" s="2" t="s">
        <v>59</v>
      </c>
      <c r="E7" s="2" t="s">
        <v>64</v>
      </c>
      <c r="F7" s="2">
        <v>7243</v>
      </c>
      <c r="H7" s="2" t="s">
        <v>70</v>
      </c>
      <c r="I7" s="2">
        <f>SUMIF(C:C,"Ravi",F:F)</f>
        <v>101749</v>
      </c>
      <c r="K7" s="18" t="s">
        <v>46</v>
      </c>
      <c r="L7" s="18" t="s">
        <v>53</v>
      </c>
      <c r="M7" s="18" t="s">
        <v>54</v>
      </c>
      <c r="N7" s="18" t="s">
        <v>55</v>
      </c>
      <c r="O7" s="18" t="s">
        <v>56</v>
      </c>
      <c r="P7" s="18" t="s">
        <v>57</v>
      </c>
    </row>
    <row r="8" spans="2:16">
      <c r="B8" s="2">
        <v>7</v>
      </c>
      <c r="C8" s="2" t="s">
        <v>58</v>
      </c>
      <c r="D8" s="2" t="s">
        <v>67</v>
      </c>
      <c r="E8" s="2" t="s">
        <v>60</v>
      </c>
      <c r="F8" s="2">
        <v>2394</v>
      </c>
      <c r="H8" s="2" t="s">
        <v>71</v>
      </c>
      <c r="I8" s="2">
        <f>COUNTIF(C:C,"Ravi")</f>
        <v>18</v>
      </c>
      <c r="K8" s="2" t="s">
        <v>67</v>
      </c>
      <c r="L8" s="2" cm="1">
        <f t="array" ref="L8">SUMIF(Region,K8,Sales)</f>
        <v>43947</v>
      </c>
      <c r="M8" s="20" cm="1">
        <f t="array" ref="M8">AVERAGEIF(Region,K8,Sales)</f>
        <v>4883</v>
      </c>
      <c r="N8" s="2" cm="1">
        <f t="array" ref="N8">COUNTIF(Region,K8)</f>
        <v>9</v>
      </c>
      <c r="O8" s="2" cm="1">
        <f t="array" ref="O8">_xlfn.MINIFS(Sales,Region,K8)</f>
        <v>1309</v>
      </c>
      <c r="P8" s="2"/>
    </row>
    <row r="9" spans="2:16">
      <c r="B9" s="2">
        <v>8</v>
      </c>
      <c r="C9" s="2" t="s">
        <v>62</v>
      </c>
      <c r="D9" s="2" t="s">
        <v>63</v>
      </c>
      <c r="E9" s="2" t="s">
        <v>64</v>
      </c>
      <c r="F9" s="2">
        <v>4907</v>
      </c>
      <c r="H9" s="2" t="s">
        <v>72</v>
      </c>
      <c r="I9" s="2">
        <f>AVERAGEIF(D:D,"South",F:F)</f>
        <v>6037.4</v>
      </c>
      <c r="K9" s="2" t="s">
        <v>68</v>
      </c>
      <c r="L9" s="2" cm="1">
        <f t="array" ref="L9">SUMIF(Region,K9,Sales)</f>
        <v>56198</v>
      </c>
      <c r="M9" s="20" cm="1">
        <f t="array" ref="M9">AVERAGEIF(Region,K9,Sales)</f>
        <v>5108.9090909090901</v>
      </c>
      <c r="N9" s="2" cm="1">
        <f t="array" ref="N9">COUNTIF(Region,K9)</f>
        <v>11</v>
      </c>
      <c r="O9" s="2" cm="1">
        <f t="array" ref="O9">_xlfn.MINIFS(Sales,Region,K9)</f>
        <v>2087</v>
      </c>
      <c r="P9" s="2"/>
    </row>
    <row r="10" spans="2:16">
      <c r="B10" s="2">
        <v>9</v>
      </c>
      <c r="C10" s="2" t="s">
        <v>58</v>
      </c>
      <c r="D10" s="2" t="s">
        <v>67</v>
      </c>
      <c r="E10" s="2" t="s">
        <v>60</v>
      </c>
      <c r="F10" s="2">
        <v>1309</v>
      </c>
      <c r="H10" s="2" t="s">
        <v>73</v>
      </c>
      <c r="I10" s="2">
        <f>_xlfn.MAXIFS(F:F,E:E,"Electronics")</f>
        <v>9058</v>
      </c>
      <c r="K10" s="2" t="s">
        <v>63</v>
      </c>
      <c r="L10" s="2" cm="1">
        <f t="array" ref="L10">SUMIF(Region,K10,Sales)</f>
        <v>61566</v>
      </c>
      <c r="M10" s="20" cm="1">
        <f t="array" ref="M10">AVERAGEIF(Region,K10,Sales)</f>
        <v>5596.9090909090901</v>
      </c>
      <c r="N10" s="2" cm="1">
        <f t="array" ref="N10">COUNTIF(Region,K10)</f>
        <v>11</v>
      </c>
      <c r="O10" s="2" cm="1">
        <f t="array" ref="O10">_xlfn.MINIFS(Sales,Region,K10)</f>
        <v>1682</v>
      </c>
      <c r="P10" s="2"/>
    </row>
    <row r="11" spans="2:16">
      <c r="B11" s="2">
        <v>10</v>
      </c>
      <c r="C11" s="2" t="s">
        <v>66</v>
      </c>
      <c r="D11" s="2" t="s">
        <v>67</v>
      </c>
      <c r="E11" s="2" t="s">
        <v>64</v>
      </c>
      <c r="F11" s="2">
        <v>9166</v>
      </c>
      <c r="H11" s="2" t="s">
        <v>74</v>
      </c>
      <c r="I11" s="2">
        <f>_xlfn.MINIFS(F:F,E:E,"Fashion")</f>
        <v>1338</v>
      </c>
      <c r="K11" s="2" t="s">
        <v>59</v>
      </c>
      <c r="L11" s="2" cm="1">
        <f t="array" ref="L11">SUMIF(Region,K11,Sales)</f>
        <v>30187</v>
      </c>
      <c r="M11" s="20" cm="1">
        <f t="array" ref="M11">AVERAGEIF(Region,K11,Sales)</f>
        <v>6037.4</v>
      </c>
      <c r="N11" s="2" cm="1">
        <f t="array" ref="N11">COUNTIF(Region,K11)</f>
        <v>5</v>
      </c>
      <c r="O11" s="2" cm="1">
        <f t="array" ref="O11">_xlfn.MINIFS(Sales,Region,K11)</f>
        <v>2695</v>
      </c>
      <c r="P11" s="2"/>
    </row>
    <row r="12" spans="2:16">
      <c r="B12" s="2">
        <v>11</v>
      </c>
      <c r="C12" s="2" t="s">
        <v>65</v>
      </c>
      <c r="D12" s="2" t="s">
        <v>68</v>
      </c>
      <c r="E12" s="2" t="s">
        <v>69</v>
      </c>
      <c r="F12" s="2">
        <v>4023</v>
      </c>
    </row>
    <row r="13" spans="2:16">
      <c r="B13" s="2">
        <v>12</v>
      </c>
      <c r="C13" s="2" t="s">
        <v>58</v>
      </c>
      <c r="D13" s="2" t="s">
        <v>67</v>
      </c>
      <c r="E13" s="2" t="s">
        <v>64</v>
      </c>
      <c r="F13" s="2">
        <v>1338</v>
      </c>
      <c r="H13" s="22" t="s">
        <v>75</v>
      </c>
      <c r="I13" s="22"/>
      <c r="K13" s="18" t="s">
        <v>47</v>
      </c>
      <c r="L13" s="18" t="s">
        <v>53</v>
      </c>
      <c r="M13" s="18" t="s">
        <v>54</v>
      </c>
      <c r="N13" s="18" t="s">
        <v>55</v>
      </c>
      <c r="O13" s="18" t="s">
        <v>56</v>
      </c>
      <c r="P13" s="18" t="s">
        <v>57</v>
      </c>
    </row>
    <row r="14" spans="2:16">
      <c r="B14" s="2">
        <v>13</v>
      </c>
      <c r="C14" s="2" t="s">
        <v>58</v>
      </c>
      <c r="D14" s="2" t="s">
        <v>59</v>
      </c>
      <c r="E14" s="2" t="s">
        <v>60</v>
      </c>
      <c r="F14" s="2">
        <v>2695</v>
      </c>
      <c r="H14" s="2" t="s">
        <v>76</v>
      </c>
      <c r="I14" s="22">
        <f>SUMIFS(F:F,D:D,"South")</f>
        <v>30187</v>
      </c>
      <c r="K14" s="2" t="s">
        <v>69</v>
      </c>
      <c r="L14" s="2"/>
      <c r="M14" s="20"/>
      <c r="N14" s="2"/>
      <c r="O14" s="2"/>
      <c r="P14" s="2"/>
    </row>
    <row r="15" spans="2:16">
      <c r="B15" s="2">
        <v>14</v>
      </c>
      <c r="C15" s="2" t="s">
        <v>62</v>
      </c>
      <c r="D15" s="2" t="s">
        <v>63</v>
      </c>
      <c r="E15" s="2" t="s">
        <v>64</v>
      </c>
      <c r="F15" s="2">
        <v>7830</v>
      </c>
      <c r="H15" s="2" t="s">
        <v>77</v>
      </c>
      <c r="I15" s="22">
        <f>COUNTIFS(E:E,"Electronics",D:D,"South")</f>
        <v>4</v>
      </c>
      <c r="K15" s="2" t="s">
        <v>60</v>
      </c>
      <c r="L15" s="2"/>
      <c r="M15" s="20"/>
      <c r="N15" s="2"/>
      <c r="O15" s="2"/>
      <c r="P15" s="2"/>
    </row>
    <row r="16" spans="2:16">
      <c r="B16" s="2">
        <v>15</v>
      </c>
      <c r="C16" s="2" t="s">
        <v>58</v>
      </c>
      <c r="D16" s="2" t="s">
        <v>59</v>
      </c>
      <c r="E16" s="2" t="s">
        <v>60</v>
      </c>
      <c r="F16" s="2">
        <v>4154</v>
      </c>
      <c r="H16" s="2" t="s">
        <v>78</v>
      </c>
      <c r="I16" s="22">
        <f>AVERAGEIFS(F:F,E:E,"Fashion",D:D,"North")</f>
        <v>5353.875</v>
      </c>
      <c r="K16" s="2" t="s">
        <v>64</v>
      </c>
      <c r="L16" s="2"/>
      <c r="M16" s="20"/>
      <c r="N16" s="2"/>
      <c r="O16" s="2"/>
      <c r="P16" s="2"/>
    </row>
    <row r="17" spans="2:9">
      <c r="B17" s="2">
        <v>16</v>
      </c>
      <c r="C17" s="2" t="s">
        <v>66</v>
      </c>
      <c r="D17" s="2" t="s">
        <v>67</v>
      </c>
      <c r="E17" s="2" t="s">
        <v>64</v>
      </c>
      <c r="F17" s="2">
        <v>6381</v>
      </c>
      <c r="H17" s="2" t="s">
        <v>79</v>
      </c>
      <c r="I17" s="22">
        <f>COUNTIFS(F:F,"&gt;5000")</f>
        <v>17</v>
      </c>
    </row>
    <row r="18" spans="2:9">
      <c r="B18" s="2">
        <v>17</v>
      </c>
      <c r="C18" s="2" t="s">
        <v>65</v>
      </c>
      <c r="D18" s="2" t="s">
        <v>68</v>
      </c>
      <c r="E18" s="2" t="s">
        <v>69</v>
      </c>
      <c r="F18" s="2">
        <v>3387</v>
      </c>
    </row>
    <row r="19" spans="2:9">
      <c r="B19" s="2">
        <v>18</v>
      </c>
      <c r="C19" s="2" t="s">
        <v>58</v>
      </c>
      <c r="D19" s="2" t="s">
        <v>63</v>
      </c>
      <c r="E19" s="2" t="s">
        <v>64</v>
      </c>
      <c r="F19" s="2">
        <v>7395</v>
      </c>
    </row>
    <row r="20" spans="2:9">
      <c r="B20" s="2">
        <v>19</v>
      </c>
      <c r="C20" s="2" t="s">
        <v>58</v>
      </c>
      <c r="D20" s="2" t="s">
        <v>63</v>
      </c>
      <c r="E20" s="2" t="s">
        <v>60</v>
      </c>
      <c r="F20" s="2">
        <v>4368</v>
      </c>
    </row>
    <row r="21" spans="2:9">
      <c r="B21" s="2">
        <v>20</v>
      </c>
      <c r="C21" s="2" t="s">
        <v>62</v>
      </c>
      <c r="D21" s="2" t="s">
        <v>63</v>
      </c>
      <c r="E21" s="2" t="s">
        <v>64</v>
      </c>
      <c r="F21" s="2">
        <v>4232</v>
      </c>
    </row>
    <row r="22" spans="2:9">
      <c r="B22" s="2">
        <v>21</v>
      </c>
      <c r="C22" s="2" t="s">
        <v>58</v>
      </c>
      <c r="D22" s="2" t="s">
        <v>63</v>
      </c>
      <c r="E22" s="2" t="s">
        <v>60</v>
      </c>
      <c r="F22" s="2">
        <v>9058</v>
      </c>
    </row>
    <row r="23" spans="2:9">
      <c r="B23" s="2">
        <v>22</v>
      </c>
      <c r="C23" s="2" t="s">
        <v>66</v>
      </c>
      <c r="D23" s="2" t="s">
        <v>67</v>
      </c>
      <c r="E23" s="2" t="s">
        <v>64</v>
      </c>
      <c r="F23" s="2">
        <v>4905</v>
      </c>
      <c r="H23" t="s">
        <v>51</v>
      </c>
    </row>
    <row r="24" spans="2:9">
      <c r="B24" s="2">
        <v>23</v>
      </c>
      <c r="C24" s="2" t="s">
        <v>65</v>
      </c>
      <c r="D24" s="2" t="s">
        <v>68</v>
      </c>
      <c r="E24" s="2" t="s">
        <v>69</v>
      </c>
      <c r="F24" s="2">
        <v>3712</v>
      </c>
    </row>
    <row r="25" spans="2:9">
      <c r="B25" s="2">
        <v>24</v>
      </c>
      <c r="C25" s="2" t="s">
        <v>58</v>
      </c>
      <c r="D25" s="2" t="s">
        <v>63</v>
      </c>
      <c r="E25" s="2" t="s">
        <v>64</v>
      </c>
      <c r="F25" s="2">
        <v>7555</v>
      </c>
    </row>
    <row r="26" spans="2:9">
      <c r="B26" s="2">
        <v>25</v>
      </c>
      <c r="C26" s="2" t="s">
        <v>58</v>
      </c>
      <c r="D26" s="2" t="s">
        <v>63</v>
      </c>
      <c r="E26" s="2" t="s">
        <v>60</v>
      </c>
      <c r="F26" s="2">
        <v>5309</v>
      </c>
    </row>
    <row r="27" spans="2:9">
      <c r="B27" s="2">
        <v>26</v>
      </c>
      <c r="C27" s="2" t="s">
        <v>62</v>
      </c>
      <c r="D27" s="2" t="s">
        <v>63</v>
      </c>
      <c r="E27" s="2" t="s">
        <v>64</v>
      </c>
      <c r="F27" s="2">
        <v>1682</v>
      </c>
    </row>
    <row r="28" spans="2:9">
      <c r="B28" s="2">
        <v>27</v>
      </c>
      <c r="C28" s="2" t="s">
        <v>58</v>
      </c>
      <c r="D28" s="2" t="s">
        <v>68</v>
      </c>
      <c r="E28" s="2" t="s">
        <v>60</v>
      </c>
      <c r="F28" s="2">
        <v>3885</v>
      </c>
    </row>
    <row r="29" spans="2:9">
      <c r="B29" s="2">
        <v>28</v>
      </c>
      <c r="C29" s="2" t="s">
        <v>66</v>
      </c>
      <c r="D29" s="2" t="s">
        <v>67</v>
      </c>
      <c r="E29" s="2" t="s">
        <v>64</v>
      </c>
      <c r="F29" s="2">
        <v>4589</v>
      </c>
    </row>
    <row r="30" spans="2:9">
      <c r="B30" s="2">
        <v>29</v>
      </c>
      <c r="C30" s="2" t="s">
        <v>65</v>
      </c>
      <c r="D30" s="2" t="s">
        <v>68</v>
      </c>
      <c r="E30" s="2" t="s">
        <v>69</v>
      </c>
      <c r="F30" s="2">
        <v>2109</v>
      </c>
    </row>
    <row r="31" spans="2:9">
      <c r="B31" s="2">
        <v>30</v>
      </c>
      <c r="C31" s="2" t="s">
        <v>58</v>
      </c>
      <c r="D31" s="2" t="s">
        <v>68</v>
      </c>
      <c r="E31" s="2" t="s">
        <v>64</v>
      </c>
      <c r="F31" s="2">
        <v>4006</v>
      </c>
    </row>
    <row r="32" spans="2:9">
      <c r="B32" s="2">
        <v>31</v>
      </c>
      <c r="C32" s="2" t="s">
        <v>58</v>
      </c>
      <c r="D32" s="2" t="s">
        <v>68</v>
      </c>
      <c r="E32" s="2" t="s">
        <v>60</v>
      </c>
      <c r="F32" s="2">
        <v>8164</v>
      </c>
    </row>
    <row r="33" spans="2:6">
      <c r="B33" s="2">
        <v>32</v>
      </c>
      <c r="C33" s="2" t="s">
        <v>62</v>
      </c>
      <c r="D33" s="2" t="s">
        <v>63</v>
      </c>
      <c r="E33" s="2" t="s">
        <v>64</v>
      </c>
      <c r="F33" s="2">
        <v>3084</v>
      </c>
    </row>
    <row r="34" spans="2:6">
      <c r="B34" s="2">
        <v>33</v>
      </c>
      <c r="C34" s="2" t="s">
        <v>58</v>
      </c>
      <c r="D34" s="2" t="s">
        <v>68</v>
      </c>
      <c r="E34" s="2" t="s">
        <v>60</v>
      </c>
      <c r="F34" s="2">
        <v>8737</v>
      </c>
    </row>
    <row r="35" spans="2:6">
      <c r="B35" s="2">
        <v>34</v>
      </c>
      <c r="C35" s="2" t="s">
        <v>66</v>
      </c>
      <c r="D35" s="2" t="s">
        <v>67</v>
      </c>
      <c r="E35" s="2" t="s">
        <v>64</v>
      </c>
      <c r="F35" s="2">
        <v>8044</v>
      </c>
    </row>
    <row r="36" spans="2:6">
      <c r="B36" s="2">
        <v>35</v>
      </c>
      <c r="C36" s="2" t="s">
        <v>65</v>
      </c>
      <c r="D36" s="2" t="s">
        <v>68</v>
      </c>
      <c r="E36" s="2" t="s">
        <v>69</v>
      </c>
      <c r="F36" s="2">
        <v>8044</v>
      </c>
    </row>
    <row r="37" spans="2:6">
      <c r="B37" s="2">
        <v>36</v>
      </c>
      <c r="C37" s="2" t="s">
        <v>58</v>
      </c>
      <c r="D37" s="2" t="s">
        <v>68</v>
      </c>
      <c r="E37" s="2" t="s">
        <v>64</v>
      </c>
      <c r="F37" s="2">
        <v>8044</v>
      </c>
    </row>
  </sheetData>
  <mergeCells count="1">
    <mergeCell ref="H1:H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83AB-BA76-468B-9550-A67D45F2A8EC}">
  <dimension ref="D2:D38"/>
  <sheetViews>
    <sheetView tabSelected="1" workbookViewId="0">
      <selection activeCell="F2" sqref="F2"/>
    </sheetView>
  </sheetViews>
  <sheetFormatPr defaultRowHeight="14.4"/>
  <cols>
    <col min="4" max="4" width="15.33203125" customWidth="1"/>
  </cols>
  <sheetData>
    <row r="2" spans="4:4">
      <c r="D2" s="1" t="s">
        <v>45</v>
      </c>
    </row>
    <row r="3" spans="4:4">
      <c r="D3" s="2" t="s">
        <v>58</v>
      </c>
    </row>
    <row r="4" spans="4:4">
      <c r="D4" s="2" t="s">
        <v>62</v>
      </c>
    </row>
    <row r="5" spans="4:4">
      <c r="D5" s="2" t="s">
        <v>58</v>
      </c>
    </row>
    <row r="6" spans="4:4">
      <c r="D6" s="2" t="s">
        <v>66</v>
      </c>
    </row>
    <row r="7" spans="4:4">
      <c r="D7" s="2" t="s">
        <v>65</v>
      </c>
    </row>
    <row r="8" spans="4:4">
      <c r="D8" s="2" t="s">
        <v>58</v>
      </c>
    </row>
    <row r="9" spans="4:4">
      <c r="D9" s="2" t="s">
        <v>58</v>
      </c>
    </row>
    <row r="10" spans="4:4">
      <c r="D10" s="2" t="s">
        <v>62</v>
      </c>
    </row>
    <row r="11" spans="4:4">
      <c r="D11" s="2" t="s">
        <v>58</v>
      </c>
    </row>
    <row r="12" spans="4:4">
      <c r="D12" s="2" t="s">
        <v>66</v>
      </c>
    </row>
    <row r="13" spans="4:4">
      <c r="D13" s="2" t="s">
        <v>65</v>
      </c>
    </row>
    <row r="14" spans="4:4">
      <c r="D14" s="2" t="s">
        <v>58</v>
      </c>
    </row>
    <row r="15" spans="4:4">
      <c r="D15" s="2" t="s">
        <v>58</v>
      </c>
    </row>
    <row r="16" spans="4:4">
      <c r="D16" s="2" t="s">
        <v>62</v>
      </c>
    </row>
    <row r="17" spans="4:4">
      <c r="D17" s="2" t="s">
        <v>58</v>
      </c>
    </row>
    <row r="18" spans="4:4">
      <c r="D18" s="2" t="s">
        <v>66</v>
      </c>
    </row>
    <row r="19" spans="4:4">
      <c r="D19" s="2" t="s">
        <v>65</v>
      </c>
    </row>
    <row r="20" spans="4:4">
      <c r="D20" s="2" t="s">
        <v>58</v>
      </c>
    </row>
    <row r="21" spans="4:4">
      <c r="D21" s="2" t="s">
        <v>58</v>
      </c>
    </row>
    <row r="22" spans="4:4">
      <c r="D22" s="2" t="s">
        <v>62</v>
      </c>
    </row>
    <row r="23" spans="4:4">
      <c r="D23" s="2" t="s">
        <v>58</v>
      </c>
    </row>
    <row r="24" spans="4:4">
      <c r="D24" s="2" t="s">
        <v>66</v>
      </c>
    </row>
    <row r="25" spans="4:4">
      <c r="D25" s="2" t="s">
        <v>65</v>
      </c>
    </row>
    <row r="26" spans="4:4">
      <c r="D26" s="2" t="s">
        <v>58</v>
      </c>
    </row>
    <row r="27" spans="4:4">
      <c r="D27" s="2" t="s">
        <v>58</v>
      </c>
    </row>
    <row r="28" spans="4:4">
      <c r="D28" s="2" t="s">
        <v>62</v>
      </c>
    </row>
    <row r="29" spans="4:4">
      <c r="D29" s="2" t="s">
        <v>58</v>
      </c>
    </row>
    <row r="30" spans="4:4">
      <c r="D30" s="2" t="s">
        <v>66</v>
      </c>
    </row>
    <row r="31" spans="4:4">
      <c r="D31" s="2" t="s">
        <v>65</v>
      </c>
    </row>
    <row r="32" spans="4:4">
      <c r="D32" s="2" t="s">
        <v>58</v>
      </c>
    </row>
    <row r="33" spans="4:4">
      <c r="D33" s="2" t="s">
        <v>58</v>
      </c>
    </row>
    <row r="34" spans="4:4">
      <c r="D34" s="2" t="s">
        <v>62</v>
      </c>
    </row>
    <row r="35" spans="4:4">
      <c r="D35" s="2" t="s">
        <v>58</v>
      </c>
    </row>
    <row r="36" spans="4:4">
      <c r="D36" s="2" t="s">
        <v>66</v>
      </c>
    </row>
    <row r="37" spans="4:4">
      <c r="D37" s="2" t="s">
        <v>65</v>
      </c>
    </row>
    <row r="38" spans="4:4">
      <c r="D38" s="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O28"/>
  <sheetViews>
    <sheetView workbookViewId="0">
      <selection activeCell="O8" sqref="O8"/>
    </sheetView>
  </sheetViews>
  <sheetFormatPr defaultColWidth="9" defaultRowHeight="14.4"/>
  <cols>
    <col min="15" max="15" width="9.6640625"/>
  </cols>
  <sheetData>
    <row r="2" spans="5:15"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</row>
    <row r="3" spans="5:15">
      <c r="E3">
        <v>2</v>
      </c>
      <c r="F3">
        <f>$E3*F$2</f>
        <v>2</v>
      </c>
      <c r="G3">
        <f t="shared" ref="G3:O3" si="0">$E3*G$2</f>
        <v>4</v>
      </c>
      <c r="H3">
        <f t="shared" si="0"/>
        <v>6</v>
      </c>
      <c r="I3">
        <f t="shared" si="0"/>
        <v>8</v>
      </c>
      <c r="J3">
        <f t="shared" si="0"/>
        <v>10</v>
      </c>
      <c r="K3">
        <f t="shared" si="0"/>
        <v>12</v>
      </c>
      <c r="L3">
        <f t="shared" si="0"/>
        <v>14</v>
      </c>
      <c r="M3">
        <f t="shared" si="0"/>
        <v>16</v>
      </c>
      <c r="N3">
        <f t="shared" si="0"/>
        <v>18</v>
      </c>
      <c r="O3">
        <f t="shared" si="0"/>
        <v>20</v>
      </c>
    </row>
    <row r="5" spans="5:15">
      <c r="F5">
        <v>2</v>
      </c>
    </row>
    <row r="6" spans="5:15">
      <c r="E6">
        <v>1</v>
      </c>
      <c r="F6">
        <f>E6*F$5</f>
        <v>2</v>
      </c>
    </row>
    <row r="7" spans="5:15">
      <c r="E7">
        <v>2</v>
      </c>
      <c r="F7">
        <f t="shared" ref="F7:F15" si="1">E7*F$5</f>
        <v>4</v>
      </c>
    </row>
    <row r="8" spans="5:15">
      <c r="E8">
        <v>3</v>
      </c>
      <c r="F8">
        <f t="shared" si="1"/>
        <v>6</v>
      </c>
    </row>
    <row r="9" spans="5:15">
      <c r="E9">
        <v>4</v>
      </c>
      <c r="F9">
        <f t="shared" si="1"/>
        <v>8</v>
      </c>
    </row>
    <row r="10" spans="5:15">
      <c r="E10">
        <v>5</v>
      </c>
      <c r="F10">
        <f t="shared" si="1"/>
        <v>10</v>
      </c>
    </row>
    <row r="11" spans="5:15">
      <c r="E11">
        <v>6</v>
      </c>
      <c r="F11">
        <f t="shared" si="1"/>
        <v>12</v>
      </c>
    </row>
    <row r="12" spans="5:15">
      <c r="E12">
        <v>7</v>
      </c>
      <c r="F12">
        <f t="shared" si="1"/>
        <v>14</v>
      </c>
    </row>
    <row r="13" spans="5:15">
      <c r="E13">
        <v>8</v>
      </c>
      <c r="F13">
        <f t="shared" si="1"/>
        <v>16</v>
      </c>
    </row>
    <row r="14" spans="5:15">
      <c r="E14">
        <v>9</v>
      </c>
      <c r="F14">
        <f t="shared" si="1"/>
        <v>18</v>
      </c>
    </row>
    <row r="15" spans="5:15">
      <c r="E15">
        <v>10</v>
      </c>
      <c r="F15">
        <f t="shared" si="1"/>
        <v>20</v>
      </c>
    </row>
    <row r="18" spans="5:15">
      <c r="F18" s="16">
        <v>1</v>
      </c>
      <c r="G18" s="16">
        <v>2</v>
      </c>
      <c r="H18" s="16">
        <v>3</v>
      </c>
      <c r="I18" s="16">
        <v>4</v>
      </c>
      <c r="J18" s="16">
        <v>5</v>
      </c>
      <c r="K18" s="16">
        <v>6</v>
      </c>
      <c r="L18" s="16">
        <v>7</v>
      </c>
      <c r="M18" s="16">
        <v>8</v>
      </c>
      <c r="N18" s="16">
        <v>9</v>
      </c>
      <c r="O18" s="16">
        <v>10</v>
      </c>
    </row>
    <row r="19" spans="5:15">
      <c r="E19">
        <v>1</v>
      </c>
      <c r="F19">
        <f>$E19*F$18</f>
        <v>1</v>
      </c>
      <c r="G19">
        <f t="shared" ref="G19:O19" si="2">$E19*G$18</f>
        <v>2</v>
      </c>
      <c r="H19">
        <f t="shared" si="2"/>
        <v>3</v>
      </c>
      <c r="I19">
        <f t="shared" si="2"/>
        <v>4</v>
      </c>
      <c r="J19">
        <f t="shared" si="2"/>
        <v>5</v>
      </c>
      <c r="K19">
        <f t="shared" si="2"/>
        <v>6</v>
      </c>
      <c r="L19">
        <f t="shared" si="2"/>
        <v>7</v>
      </c>
      <c r="M19">
        <f t="shared" si="2"/>
        <v>8</v>
      </c>
      <c r="N19">
        <f t="shared" si="2"/>
        <v>9</v>
      </c>
      <c r="O19">
        <f t="shared" si="2"/>
        <v>10</v>
      </c>
    </row>
    <row r="20" spans="5:15">
      <c r="E20">
        <v>2</v>
      </c>
      <c r="F20">
        <f t="shared" ref="F20:F28" si="3">$E20*F$18</f>
        <v>2</v>
      </c>
      <c r="G20">
        <f t="shared" ref="G20:G28" si="4">$E20*G$18</f>
        <v>4</v>
      </c>
      <c r="H20">
        <f t="shared" ref="H20:H28" si="5">$E20*H$18</f>
        <v>6</v>
      </c>
      <c r="I20">
        <f t="shared" ref="I20:I28" si="6">$E20*I$18</f>
        <v>8</v>
      </c>
      <c r="J20">
        <f t="shared" ref="J20:J28" si="7">$E20*J$18</f>
        <v>10</v>
      </c>
      <c r="K20">
        <f t="shared" ref="K20:K28" si="8">$E20*K$18</f>
        <v>12</v>
      </c>
      <c r="L20">
        <f t="shared" ref="L20:L28" si="9">$E20*L$18</f>
        <v>14</v>
      </c>
      <c r="M20">
        <f t="shared" ref="M20:M28" si="10">$E20*M$18</f>
        <v>16</v>
      </c>
      <c r="N20">
        <f t="shared" ref="N20:N28" si="11">$E20*N$18</f>
        <v>18</v>
      </c>
      <c r="O20">
        <f t="shared" ref="O20:O28" si="12">$E20*O$18</f>
        <v>20</v>
      </c>
    </row>
    <row r="21" spans="5:15">
      <c r="E21">
        <v>3</v>
      </c>
      <c r="F21">
        <f t="shared" si="3"/>
        <v>3</v>
      </c>
      <c r="G21">
        <f t="shared" si="4"/>
        <v>6</v>
      </c>
      <c r="H21">
        <f t="shared" si="5"/>
        <v>9</v>
      </c>
      <c r="I21">
        <f t="shared" si="6"/>
        <v>12</v>
      </c>
      <c r="J21">
        <f t="shared" si="7"/>
        <v>15</v>
      </c>
      <c r="K21">
        <f t="shared" si="8"/>
        <v>18</v>
      </c>
      <c r="L21">
        <f t="shared" si="9"/>
        <v>21</v>
      </c>
      <c r="M21">
        <f t="shared" si="10"/>
        <v>24</v>
      </c>
      <c r="N21">
        <f t="shared" si="11"/>
        <v>27</v>
      </c>
      <c r="O21">
        <f t="shared" si="12"/>
        <v>30</v>
      </c>
    </row>
    <row r="22" spans="5:15">
      <c r="E22">
        <v>4</v>
      </c>
      <c r="F22">
        <f t="shared" si="3"/>
        <v>4</v>
      </c>
      <c r="G22">
        <f t="shared" si="4"/>
        <v>8</v>
      </c>
      <c r="H22">
        <f t="shared" si="5"/>
        <v>12</v>
      </c>
      <c r="I22">
        <f t="shared" si="6"/>
        <v>16</v>
      </c>
      <c r="J22">
        <f t="shared" si="7"/>
        <v>20</v>
      </c>
      <c r="K22">
        <f t="shared" si="8"/>
        <v>24</v>
      </c>
      <c r="L22">
        <f t="shared" si="9"/>
        <v>28</v>
      </c>
      <c r="M22">
        <f t="shared" si="10"/>
        <v>32</v>
      </c>
      <c r="N22">
        <f t="shared" si="11"/>
        <v>36</v>
      </c>
      <c r="O22">
        <f t="shared" si="12"/>
        <v>40</v>
      </c>
    </row>
    <row r="23" spans="5:15">
      <c r="E23">
        <v>5</v>
      </c>
      <c r="F23">
        <f t="shared" si="3"/>
        <v>5</v>
      </c>
      <c r="G23">
        <f t="shared" si="4"/>
        <v>10</v>
      </c>
      <c r="H23">
        <f t="shared" si="5"/>
        <v>15</v>
      </c>
      <c r="I23">
        <f t="shared" si="6"/>
        <v>20</v>
      </c>
      <c r="J23">
        <f t="shared" si="7"/>
        <v>25</v>
      </c>
      <c r="K23">
        <f t="shared" si="8"/>
        <v>30</v>
      </c>
      <c r="L23">
        <f t="shared" si="9"/>
        <v>35</v>
      </c>
      <c r="M23">
        <f t="shared" si="10"/>
        <v>40</v>
      </c>
      <c r="N23">
        <f t="shared" si="11"/>
        <v>45</v>
      </c>
      <c r="O23">
        <f t="shared" si="12"/>
        <v>50</v>
      </c>
    </row>
    <row r="24" spans="5:15">
      <c r="E24">
        <v>6</v>
      </c>
      <c r="F24">
        <f t="shared" si="3"/>
        <v>6</v>
      </c>
      <c r="G24">
        <f t="shared" si="4"/>
        <v>12</v>
      </c>
      <c r="H24">
        <f t="shared" si="5"/>
        <v>18</v>
      </c>
      <c r="I24">
        <f t="shared" si="6"/>
        <v>24</v>
      </c>
      <c r="J24">
        <f t="shared" si="7"/>
        <v>30</v>
      </c>
      <c r="K24">
        <f t="shared" si="8"/>
        <v>36</v>
      </c>
      <c r="L24">
        <f t="shared" si="9"/>
        <v>42</v>
      </c>
      <c r="M24">
        <f t="shared" si="10"/>
        <v>48</v>
      </c>
      <c r="N24">
        <f t="shared" si="11"/>
        <v>54</v>
      </c>
      <c r="O24">
        <f t="shared" si="12"/>
        <v>60</v>
      </c>
    </row>
    <row r="25" spans="5:15">
      <c r="E25">
        <v>7</v>
      </c>
      <c r="F25">
        <f t="shared" si="3"/>
        <v>7</v>
      </c>
      <c r="G25">
        <f t="shared" si="4"/>
        <v>14</v>
      </c>
      <c r="H25">
        <f t="shared" si="5"/>
        <v>21</v>
      </c>
      <c r="I25">
        <f t="shared" si="6"/>
        <v>28</v>
      </c>
      <c r="J25">
        <f t="shared" si="7"/>
        <v>35</v>
      </c>
      <c r="K25">
        <f t="shared" si="8"/>
        <v>42</v>
      </c>
      <c r="L25">
        <f t="shared" si="9"/>
        <v>49</v>
      </c>
      <c r="M25">
        <f t="shared" si="10"/>
        <v>56</v>
      </c>
      <c r="N25">
        <f t="shared" si="11"/>
        <v>63</v>
      </c>
      <c r="O25">
        <f t="shared" si="12"/>
        <v>70</v>
      </c>
    </row>
    <row r="26" spans="5:15">
      <c r="E26">
        <v>8</v>
      </c>
      <c r="F26">
        <f t="shared" si="3"/>
        <v>8</v>
      </c>
      <c r="G26">
        <f t="shared" si="4"/>
        <v>16</v>
      </c>
      <c r="H26">
        <f t="shared" si="5"/>
        <v>24</v>
      </c>
      <c r="I26">
        <f t="shared" si="6"/>
        <v>32</v>
      </c>
      <c r="J26">
        <f t="shared" si="7"/>
        <v>40</v>
      </c>
      <c r="K26">
        <f t="shared" si="8"/>
        <v>48</v>
      </c>
      <c r="L26">
        <f t="shared" si="9"/>
        <v>56</v>
      </c>
      <c r="M26">
        <f t="shared" si="10"/>
        <v>64</v>
      </c>
      <c r="N26">
        <f t="shared" si="11"/>
        <v>72</v>
      </c>
      <c r="O26">
        <f t="shared" si="12"/>
        <v>80</v>
      </c>
    </row>
    <row r="27" spans="5:15">
      <c r="E27">
        <v>9</v>
      </c>
      <c r="F27">
        <f t="shared" si="3"/>
        <v>9</v>
      </c>
      <c r="G27">
        <f t="shared" si="4"/>
        <v>18</v>
      </c>
      <c r="H27">
        <f t="shared" si="5"/>
        <v>27</v>
      </c>
      <c r="I27">
        <f t="shared" si="6"/>
        <v>36</v>
      </c>
      <c r="J27">
        <f t="shared" si="7"/>
        <v>45</v>
      </c>
      <c r="K27">
        <f t="shared" si="8"/>
        <v>54</v>
      </c>
      <c r="L27">
        <f t="shared" si="9"/>
        <v>63</v>
      </c>
      <c r="M27">
        <f t="shared" si="10"/>
        <v>72</v>
      </c>
      <c r="N27">
        <f t="shared" si="11"/>
        <v>81</v>
      </c>
      <c r="O27">
        <f t="shared" si="12"/>
        <v>90</v>
      </c>
    </row>
    <row r="28" spans="5:15">
      <c r="E28">
        <v>10</v>
      </c>
      <c r="F28">
        <f t="shared" si="3"/>
        <v>10</v>
      </c>
      <c r="G28">
        <f t="shared" si="4"/>
        <v>20</v>
      </c>
      <c r="H28">
        <f t="shared" si="5"/>
        <v>30</v>
      </c>
      <c r="I28">
        <f t="shared" si="6"/>
        <v>40</v>
      </c>
      <c r="J28">
        <f t="shared" si="7"/>
        <v>50</v>
      </c>
      <c r="K28">
        <f t="shared" si="8"/>
        <v>60</v>
      </c>
      <c r="L28">
        <f t="shared" si="9"/>
        <v>70</v>
      </c>
      <c r="M28">
        <f t="shared" si="10"/>
        <v>80</v>
      </c>
      <c r="N28">
        <f t="shared" si="11"/>
        <v>90</v>
      </c>
      <c r="O28">
        <f t="shared" si="12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L48"/>
  <sheetViews>
    <sheetView topLeftCell="A15" workbookViewId="0">
      <selection activeCell="O8" sqref="O8"/>
    </sheetView>
  </sheetViews>
  <sheetFormatPr defaultColWidth="9" defaultRowHeight="14.4"/>
  <cols>
    <col min="5" max="5" width="14" customWidth="1"/>
    <col min="8" max="8" width="18.21875" customWidth="1"/>
    <col min="9" max="9" width="17.21875" customWidth="1"/>
    <col min="10" max="10" width="19.33203125" customWidth="1"/>
    <col min="11" max="11" width="16" customWidth="1"/>
    <col min="12" max="12" width="19.21875" customWidth="1"/>
  </cols>
  <sheetData>
    <row r="3" spans="2:12">
      <c r="B3" s="1" t="s">
        <v>44</v>
      </c>
      <c r="C3" s="1" t="s">
        <v>80</v>
      </c>
      <c r="D3" s="1" t="s">
        <v>46</v>
      </c>
      <c r="E3" s="1" t="s">
        <v>47</v>
      </c>
      <c r="F3" s="1" t="s">
        <v>48</v>
      </c>
      <c r="H3" s="44" t="s">
        <v>81</v>
      </c>
      <c r="I3" s="45"/>
      <c r="J3" s="45"/>
      <c r="K3" s="45"/>
      <c r="L3" s="46"/>
    </row>
    <row r="4" spans="2:12">
      <c r="B4" s="2">
        <v>1</v>
      </c>
      <c r="C4" s="2" t="s">
        <v>58</v>
      </c>
      <c r="D4" s="2" t="s">
        <v>59</v>
      </c>
      <c r="E4" s="2" t="s">
        <v>60</v>
      </c>
      <c r="F4" s="2">
        <v>7899</v>
      </c>
      <c r="H4" s="3" t="s">
        <v>15</v>
      </c>
      <c r="I4" s="4" t="s">
        <v>82</v>
      </c>
      <c r="J4" s="4" t="s">
        <v>83</v>
      </c>
      <c r="K4" s="4" t="s">
        <v>84</v>
      </c>
      <c r="L4" s="5" t="s">
        <v>85</v>
      </c>
    </row>
    <row r="5" spans="2:12">
      <c r="B5" s="2">
        <v>2</v>
      </c>
      <c r="C5" s="2" t="s">
        <v>62</v>
      </c>
      <c r="D5" s="2" t="s">
        <v>63</v>
      </c>
      <c r="E5" s="2" t="s">
        <v>64</v>
      </c>
      <c r="F5" s="2">
        <v>6146</v>
      </c>
      <c r="H5" s="6">
        <f>SUM(sum)</f>
        <v>191898</v>
      </c>
      <c r="I5" s="7">
        <f>AVERAGE(sum)</f>
        <v>5330.5</v>
      </c>
      <c r="J5" s="7">
        <f>MIN(sum)</f>
        <v>1309</v>
      </c>
      <c r="K5" s="7">
        <f>MAX(sum)</f>
        <v>9166</v>
      </c>
      <c r="L5" s="8">
        <f>COUNT(sum)</f>
        <v>36</v>
      </c>
    </row>
    <row r="6" spans="2:12">
      <c r="B6" s="2">
        <v>3</v>
      </c>
      <c r="C6" s="2" t="s">
        <v>58</v>
      </c>
      <c r="D6" s="2" t="s">
        <v>59</v>
      </c>
      <c r="E6" s="2" t="s">
        <v>60</v>
      </c>
      <c r="F6" s="2">
        <v>8196</v>
      </c>
    </row>
    <row r="7" spans="2:12">
      <c r="B7" s="2">
        <v>4</v>
      </c>
      <c r="C7" s="2" t="s">
        <v>66</v>
      </c>
      <c r="D7" s="2" t="s">
        <v>67</v>
      </c>
      <c r="E7" s="2" t="s">
        <v>64</v>
      </c>
      <c r="F7" s="2">
        <v>5821</v>
      </c>
      <c r="H7" s="47" t="s">
        <v>86</v>
      </c>
      <c r="I7" s="48"/>
      <c r="J7" s="48"/>
      <c r="K7" s="48"/>
      <c r="L7" s="49"/>
    </row>
    <row r="8" spans="2:12">
      <c r="B8" s="2">
        <v>5</v>
      </c>
      <c r="C8" s="2" t="s">
        <v>65</v>
      </c>
      <c r="D8" s="2" t="s">
        <v>68</v>
      </c>
      <c r="E8" s="2" t="s">
        <v>69</v>
      </c>
      <c r="F8" s="2">
        <v>2087</v>
      </c>
      <c r="H8" s="9" t="s">
        <v>87</v>
      </c>
      <c r="I8" s="10" t="s">
        <v>88</v>
      </c>
      <c r="J8" s="10" t="s">
        <v>89</v>
      </c>
      <c r="K8" s="10" t="s">
        <v>90</v>
      </c>
      <c r="L8" s="11" t="s">
        <v>91</v>
      </c>
    </row>
    <row r="9" spans="2:12">
      <c r="B9" s="2">
        <v>6</v>
      </c>
      <c r="C9" s="2" t="s">
        <v>58</v>
      </c>
      <c r="D9" s="2" t="s">
        <v>59</v>
      </c>
      <c r="E9" s="2" t="s">
        <v>64</v>
      </c>
      <c r="F9" s="2">
        <v>7243</v>
      </c>
      <c r="H9" s="12">
        <v>200000</v>
      </c>
      <c r="I9" s="13">
        <f>$H$5</f>
        <v>191898</v>
      </c>
      <c r="J9" s="14">
        <f>$H$5/$H$9</f>
        <v>0.95948999999999995</v>
      </c>
      <c r="K9" s="13">
        <f>$H$9-$H$5</f>
        <v>8102</v>
      </c>
      <c r="L9" s="15">
        <f>($H$9-$H$5)/$H$9</f>
        <v>4.0509999999999997E-2</v>
      </c>
    </row>
    <row r="10" spans="2:12">
      <c r="B10" s="2">
        <v>7</v>
      </c>
      <c r="C10" s="2" t="s">
        <v>58</v>
      </c>
      <c r="D10" s="2" t="s">
        <v>59</v>
      </c>
      <c r="E10" s="2" t="s">
        <v>60</v>
      </c>
      <c r="F10" s="2">
        <v>2394</v>
      </c>
    </row>
    <row r="11" spans="2:12">
      <c r="B11" s="2">
        <v>8</v>
      </c>
      <c r="C11" s="2" t="s">
        <v>62</v>
      </c>
      <c r="D11" s="2" t="s">
        <v>63</v>
      </c>
      <c r="E11" s="2" t="s">
        <v>64</v>
      </c>
      <c r="F11" s="2">
        <v>4907</v>
      </c>
    </row>
    <row r="12" spans="2:12">
      <c r="B12" s="2">
        <v>9</v>
      </c>
      <c r="C12" s="2" t="s">
        <v>58</v>
      </c>
      <c r="D12" s="2" t="s">
        <v>59</v>
      </c>
      <c r="E12" s="2" t="s">
        <v>60</v>
      </c>
      <c r="F12" s="2">
        <v>1309</v>
      </c>
      <c r="H12" s="1" t="s">
        <v>48</v>
      </c>
    </row>
    <row r="13" spans="2:12">
      <c r="B13" s="2">
        <v>10</v>
      </c>
      <c r="C13" s="2" t="s">
        <v>66</v>
      </c>
      <c r="D13" s="2" t="s">
        <v>67</v>
      </c>
      <c r="E13" s="2" t="s">
        <v>64</v>
      </c>
      <c r="F13" s="2">
        <v>9166</v>
      </c>
      <c r="H13" s="2">
        <v>7899</v>
      </c>
    </row>
    <row r="14" spans="2:12">
      <c r="B14" s="2">
        <v>11</v>
      </c>
      <c r="C14" s="2" t="s">
        <v>65</v>
      </c>
      <c r="D14" s="2" t="s">
        <v>68</v>
      </c>
      <c r="E14" s="2" t="s">
        <v>69</v>
      </c>
      <c r="F14" s="2">
        <v>4023</v>
      </c>
      <c r="H14" s="2">
        <v>6146</v>
      </c>
    </row>
    <row r="15" spans="2:12">
      <c r="B15" s="2">
        <v>12</v>
      </c>
      <c r="C15" s="2" t="s">
        <v>58</v>
      </c>
      <c r="D15" s="2" t="s">
        <v>59</v>
      </c>
      <c r="E15" s="2" t="s">
        <v>64</v>
      </c>
      <c r="F15" s="2">
        <v>1338</v>
      </c>
      <c r="H15" s="2">
        <v>8196</v>
      </c>
    </row>
    <row r="16" spans="2:12">
      <c r="B16" s="2">
        <v>13</v>
      </c>
      <c r="C16" s="2" t="s">
        <v>58</v>
      </c>
      <c r="D16" s="2" t="s">
        <v>59</v>
      </c>
      <c r="E16" s="2" t="s">
        <v>60</v>
      </c>
      <c r="F16" s="2">
        <v>2695</v>
      </c>
      <c r="H16" s="2">
        <v>5821</v>
      </c>
    </row>
    <row r="17" spans="2:8">
      <c r="B17" s="2">
        <v>14</v>
      </c>
      <c r="C17" s="2" t="s">
        <v>62</v>
      </c>
      <c r="D17" s="2" t="s">
        <v>63</v>
      </c>
      <c r="E17" s="2" t="s">
        <v>64</v>
      </c>
      <c r="F17" s="2">
        <v>7830</v>
      </c>
      <c r="H17" s="2">
        <v>2087</v>
      </c>
    </row>
    <row r="18" spans="2:8">
      <c r="B18" s="2">
        <v>15</v>
      </c>
      <c r="C18" s="2" t="s">
        <v>58</v>
      </c>
      <c r="D18" s="2" t="s">
        <v>59</v>
      </c>
      <c r="E18" s="2" t="s">
        <v>60</v>
      </c>
      <c r="F18" s="2">
        <v>4154</v>
      </c>
      <c r="H18" s="2">
        <v>7243</v>
      </c>
    </row>
    <row r="19" spans="2:8">
      <c r="B19" s="2">
        <v>16</v>
      </c>
      <c r="C19" s="2" t="s">
        <v>66</v>
      </c>
      <c r="D19" s="2" t="s">
        <v>67</v>
      </c>
      <c r="E19" s="2" t="s">
        <v>64</v>
      </c>
      <c r="F19" s="2">
        <v>6381</v>
      </c>
      <c r="H19" s="2">
        <v>2394</v>
      </c>
    </row>
    <row r="20" spans="2:8">
      <c r="B20" s="2">
        <v>17</v>
      </c>
      <c r="C20" s="2" t="s">
        <v>65</v>
      </c>
      <c r="D20" s="2" t="s">
        <v>68</v>
      </c>
      <c r="E20" s="2" t="s">
        <v>69</v>
      </c>
      <c r="F20" s="2">
        <v>3387</v>
      </c>
      <c r="H20" s="2">
        <v>4907</v>
      </c>
    </row>
    <row r="21" spans="2:8">
      <c r="B21" s="2">
        <v>18</v>
      </c>
      <c r="C21" s="2" t="s">
        <v>58</v>
      </c>
      <c r="D21" s="2" t="s">
        <v>59</v>
      </c>
      <c r="E21" s="2" t="s">
        <v>64</v>
      </c>
      <c r="F21" s="2">
        <v>7395</v>
      </c>
      <c r="H21" s="2">
        <v>1309</v>
      </c>
    </row>
    <row r="22" spans="2:8">
      <c r="B22" s="2">
        <v>19</v>
      </c>
      <c r="C22" s="2" t="s">
        <v>58</v>
      </c>
      <c r="D22" s="2" t="s">
        <v>59</v>
      </c>
      <c r="E22" s="2" t="s">
        <v>60</v>
      </c>
      <c r="F22" s="2">
        <v>4368</v>
      </c>
      <c r="H22" s="2">
        <v>9166</v>
      </c>
    </row>
    <row r="23" spans="2:8">
      <c r="B23" s="2">
        <v>20</v>
      </c>
      <c r="C23" s="2" t="s">
        <v>62</v>
      </c>
      <c r="D23" s="2" t="s">
        <v>63</v>
      </c>
      <c r="E23" s="2" t="s">
        <v>64</v>
      </c>
      <c r="F23" s="2">
        <v>4232</v>
      </c>
      <c r="H23" s="2">
        <v>4023</v>
      </c>
    </row>
    <row r="24" spans="2:8">
      <c r="B24" s="2">
        <v>21</v>
      </c>
      <c r="C24" s="2" t="s">
        <v>58</v>
      </c>
      <c r="D24" s="2" t="s">
        <v>59</v>
      </c>
      <c r="E24" s="2" t="s">
        <v>60</v>
      </c>
      <c r="F24" s="2">
        <v>9058</v>
      </c>
      <c r="H24" s="2">
        <v>1338</v>
      </c>
    </row>
    <row r="25" spans="2:8">
      <c r="B25" s="2">
        <v>22</v>
      </c>
      <c r="C25" s="2" t="s">
        <v>66</v>
      </c>
      <c r="D25" s="2" t="s">
        <v>67</v>
      </c>
      <c r="E25" s="2" t="s">
        <v>64</v>
      </c>
      <c r="F25" s="2">
        <v>4905</v>
      </c>
      <c r="H25" s="2">
        <v>2695</v>
      </c>
    </row>
    <row r="26" spans="2:8">
      <c r="B26" s="2">
        <v>23</v>
      </c>
      <c r="C26" s="2" t="s">
        <v>65</v>
      </c>
      <c r="D26" s="2" t="s">
        <v>68</v>
      </c>
      <c r="E26" s="2" t="s">
        <v>69</v>
      </c>
      <c r="F26" s="2">
        <v>3712</v>
      </c>
      <c r="H26" s="2">
        <v>7830</v>
      </c>
    </row>
    <row r="27" spans="2:8">
      <c r="B27" s="2">
        <v>24</v>
      </c>
      <c r="C27" s="2" t="s">
        <v>58</v>
      </c>
      <c r="D27" s="2" t="s">
        <v>59</v>
      </c>
      <c r="E27" s="2" t="s">
        <v>64</v>
      </c>
      <c r="F27" s="2">
        <v>7555</v>
      </c>
      <c r="H27" s="2">
        <v>4154</v>
      </c>
    </row>
    <row r="28" spans="2:8">
      <c r="B28" s="2">
        <v>25</v>
      </c>
      <c r="C28" s="2" t="s">
        <v>58</v>
      </c>
      <c r="D28" s="2" t="s">
        <v>59</v>
      </c>
      <c r="E28" s="2" t="s">
        <v>60</v>
      </c>
      <c r="F28" s="2">
        <v>5309</v>
      </c>
      <c r="H28" s="2">
        <v>6381</v>
      </c>
    </row>
    <row r="29" spans="2:8">
      <c r="B29" s="2">
        <v>26</v>
      </c>
      <c r="C29" s="2" t="s">
        <v>62</v>
      </c>
      <c r="D29" s="2" t="s">
        <v>63</v>
      </c>
      <c r="E29" s="2" t="s">
        <v>64</v>
      </c>
      <c r="F29" s="2">
        <v>1682</v>
      </c>
      <c r="H29" s="2">
        <v>3387</v>
      </c>
    </row>
    <row r="30" spans="2:8">
      <c r="B30" s="2">
        <v>27</v>
      </c>
      <c r="C30" s="2" t="s">
        <v>58</v>
      </c>
      <c r="D30" s="2" t="s">
        <v>59</v>
      </c>
      <c r="E30" s="2" t="s">
        <v>60</v>
      </c>
      <c r="F30" s="2">
        <v>3885</v>
      </c>
      <c r="H30" s="2">
        <v>7395</v>
      </c>
    </row>
    <row r="31" spans="2:8">
      <c r="B31" s="2">
        <v>28</v>
      </c>
      <c r="C31" s="2" t="s">
        <v>66</v>
      </c>
      <c r="D31" s="2" t="s">
        <v>67</v>
      </c>
      <c r="E31" s="2" t="s">
        <v>64</v>
      </c>
      <c r="F31" s="2">
        <v>4589</v>
      </c>
      <c r="H31" s="2">
        <v>4368</v>
      </c>
    </row>
    <row r="32" spans="2:8">
      <c r="B32" s="2">
        <v>29</v>
      </c>
      <c r="C32" s="2" t="s">
        <v>65</v>
      </c>
      <c r="D32" s="2" t="s">
        <v>68</v>
      </c>
      <c r="E32" s="2" t="s">
        <v>69</v>
      </c>
      <c r="F32" s="2">
        <v>2109</v>
      </c>
      <c r="H32" s="2">
        <v>4232</v>
      </c>
    </row>
    <row r="33" spans="2:8">
      <c r="B33" s="2">
        <v>30</v>
      </c>
      <c r="C33" s="2" t="s">
        <v>58</v>
      </c>
      <c r="D33" s="2" t="s">
        <v>59</v>
      </c>
      <c r="E33" s="2" t="s">
        <v>64</v>
      </c>
      <c r="F33" s="2">
        <v>4006</v>
      </c>
      <c r="H33" s="2">
        <v>9058</v>
      </c>
    </row>
    <row r="34" spans="2:8">
      <c r="B34" s="2">
        <v>31</v>
      </c>
      <c r="C34" s="2" t="s">
        <v>58</v>
      </c>
      <c r="D34" s="2" t="s">
        <v>59</v>
      </c>
      <c r="E34" s="2" t="s">
        <v>60</v>
      </c>
      <c r="F34" s="2">
        <v>8164</v>
      </c>
      <c r="H34" s="2">
        <v>4905</v>
      </c>
    </row>
    <row r="35" spans="2:8">
      <c r="B35" s="2">
        <v>32</v>
      </c>
      <c r="C35" s="2" t="s">
        <v>62</v>
      </c>
      <c r="D35" s="2" t="s">
        <v>63</v>
      </c>
      <c r="E35" s="2" t="s">
        <v>64</v>
      </c>
      <c r="F35" s="2">
        <v>3084</v>
      </c>
      <c r="H35" s="2">
        <v>3712</v>
      </c>
    </row>
    <row r="36" spans="2:8">
      <c r="B36" s="2">
        <v>33</v>
      </c>
      <c r="C36" s="2" t="s">
        <v>58</v>
      </c>
      <c r="D36" s="2" t="s">
        <v>59</v>
      </c>
      <c r="E36" s="2" t="s">
        <v>60</v>
      </c>
      <c r="F36" s="2">
        <v>8737</v>
      </c>
      <c r="H36" s="2">
        <v>7555</v>
      </c>
    </row>
    <row r="37" spans="2:8">
      <c r="B37" s="2">
        <v>34</v>
      </c>
      <c r="C37" s="2" t="s">
        <v>66</v>
      </c>
      <c r="D37" s="2" t="s">
        <v>67</v>
      </c>
      <c r="E37" s="2" t="s">
        <v>64</v>
      </c>
      <c r="F37" s="2">
        <v>8044</v>
      </c>
      <c r="H37" s="2">
        <v>5309</v>
      </c>
    </row>
    <row r="38" spans="2:8">
      <c r="B38" s="2">
        <v>35</v>
      </c>
      <c r="C38" s="2" t="s">
        <v>65</v>
      </c>
      <c r="D38" s="2" t="s">
        <v>68</v>
      </c>
      <c r="E38" s="2" t="s">
        <v>69</v>
      </c>
      <c r="F38" s="2">
        <v>8044</v>
      </c>
      <c r="H38" s="2">
        <v>1682</v>
      </c>
    </row>
    <row r="39" spans="2:8">
      <c r="B39" s="2">
        <v>36</v>
      </c>
      <c r="C39" s="2" t="s">
        <v>58</v>
      </c>
      <c r="D39" s="2" t="s">
        <v>59</v>
      </c>
      <c r="E39" s="2" t="s">
        <v>64</v>
      </c>
      <c r="F39" s="2">
        <v>8044</v>
      </c>
      <c r="H39" s="2">
        <v>3885</v>
      </c>
    </row>
    <row r="40" spans="2:8">
      <c r="H40" s="2">
        <v>4589</v>
      </c>
    </row>
    <row r="41" spans="2:8">
      <c r="H41" s="2">
        <v>2109</v>
      </c>
    </row>
    <row r="42" spans="2:8">
      <c r="H42" s="2">
        <v>4006</v>
      </c>
    </row>
    <row r="43" spans="2:8">
      <c r="H43" s="2">
        <v>8164</v>
      </c>
    </row>
    <row r="44" spans="2:8">
      <c r="H44" s="2">
        <v>3084</v>
      </c>
    </row>
    <row r="45" spans="2:8">
      <c r="H45" s="2">
        <v>8737</v>
      </c>
    </row>
    <row r="46" spans="2:8">
      <c r="H46" s="2">
        <v>8044</v>
      </c>
    </row>
    <row r="47" spans="2:8">
      <c r="H47" s="2">
        <v>8044</v>
      </c>
    </row>
    <row r="48" spans="2:8">
      <c r="H48" s="2">
        <v>8044</v>
      </c>
    </row>
  </sheetData>
  <mergeCells count="2">
    <mergeCell ref="H3:L3"/>
    <mergeCell ref="H7:L7"/>
  </mergeCells>
  <conditionalFormatting sqref="I9">
    <cfRule type="colorScale" priority="3">
      <colorScale>
        <cfvo type="num" val="90000"/>
        <cfvo type="num" val="150000"/>
        <cfvo type="num" val="150001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If &amp; Ifs Notes</vt:lpstr>
      <vt:lpstr>Conditional Functions DAtaset</vt:lpstr>
      <vt:lpstr>Sheet1</vt:lpstr>
      <vt:lpstr>Table Calculation</vt:lpstr>
      <vt:lpstr>Cell Reference Data</vt:lpstr>
      <vt:lpstr>Category</vt:lpstr>
      <vt:lpstr>Cust_Name</vt:lpstr>
      <vt:lpstr>Region</vt:lpstr>
      <vt:lpstr>Sale_datas</vt:lpstr>
      <vt:lpstr>Sales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Likhitha Vanjarani</cp:lastModifiedBy>
  <dcterms:created xsi:type="dcterms:W3CDTF">2026-04-14T16:49:00Z</dcterms:created>
  <dcterms:modified xsi:type="dcterms:W3CDTF">2026-04-17T04:22:49Z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716EAB66F2B4448FB7896F12665DFD5C_13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