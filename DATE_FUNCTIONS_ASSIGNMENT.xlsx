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F0CB03-7C28-45AE-8535-CC1DD8CCBCAE}" xr6:coauthVersionLast="47" xr6:coauthVersionMax="47" xr10:uidLastSave="{00000000-0000-0000-0000-000000000000}"/>
  <bookViews>
    <workbookView xWindow="-108" yWindow="-108" windowWidth="23256" windowHeight="12456" xr2:uid="{34274238-5D02-4306-A63E-3A1A43C183AF}"/>
  </bookViews>
  <sheets>
    <sheet name="Dataset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A4" i="1"/>
  <c r="AA5" i="1"/>
  <c r="AA6" i="1"/>
  <c r="AA7" i="1"/>
  <c r="AA8" i="1"/>
  <c r="AA9" i="1"/>
  <c r="AA10" i="1"/>
  <c r="AA11" i="1"/>
  <c r="AA12" i="1"/>
  <c r="AA3" i="1"/>
  <c r="U12" i="1"/>
  <c r="U11" i="1"/>
  <c r="U10" i="1"/>
  <c r="U9" i="1"/>
  <c r="U8" i="1"/>
  <c r="U7" i="1"/>
  <c r="U6" i="1"/>
  <c r="U5" i="1"/>
  <c r="U4" i="1"/>
  <c r="Y3" i="1"/>
  <c r="Y4" i="1"/>
  <c r="Y5" i="1"/>
  <c r="Y6" i="1"/>
  <c r="Y7" i="1"/>
  <c r="Y8" i="1"/>
  <c r="Y9" i="1"/>
  <c r="Y10" i="1"/>
  <c r="Y11" i="1"/>
  <c r="Y12" i="1"/>
  <c r="U3" i="1"/>
  <c r="X4" i="1"/>
  <c r="X5" i="1"/>
  <c r="X6" i="1"/>
  <c r="X7" i="1"/>
  <c r="X8" i="1"/>
  <c r="X9" i="1"/>
  <c r="X10" i="1"/>
  <c r="X11" i="1"/>
  <c r="X12" i="1"/>
  <c r="X3" i="1"/>
  <c r="AR4" i="1"/>
  <c r="AR5" i="1"/>
  <c r="AR6" i="1"/>
  <c r="AR7" i="1"/>
  <c r="AR8" i="1"/>
  <c r="AR9" i="1"/>
  <c r="AR10" i="1"/>
  <c r="AR11" i="1"/>
  <c r="AR12" i="1"/>
  <c r="AR3" i="1"/>
  <c r="AQ12" i="1"/>
  <c r="AQ4" i="1"/>
  <c r="AQ5" i="1"/>
  <c r="AQ6" i="1"/>
  <c r="AQ7" i="1"/>
  <c r="AQ8" i="1"/>
  <c r="AQ9" i="1"/>
  <c r="AQ10" i="1"/>
  <c r="AQ11" i="1"/>
  <c r="AQ3" i="1"/>
  <c r="AP4" i="1"/>
  <c r="AP5" i="1"/>
  <c r="AP6" i="1"/>
  <c r="AP7" i="1"/>
  <c r="AP8" i="1"/>
  <c r="AP9" i="1"/>
  <c r="AP10" i="1"/>
  <c r="AP11" i="1"/>
  <c r="AP12" i="1"/>
  <c r="AP3" i="1"/>
  <c r="AO4" i="1"/>
  <c r="AO5" i="1"/>
  <c r="AO6" i="1"/>
  <c r="AO7" i="1"/>
  <c r="AO8" i="1"/>
  <c r="AO9" i="1"/>
  <c r="AO10" i="1"/>
  <c r="AO11" i="1"/>
  <c r="AO12" i="1"/>
  <c r="AO3" i="1"/>
  <c r="AM4" i="1"/>
  <c r="AM5" i="1"/>
  <c r="AM6" i="1"/>
  <c r="AM7" i="1"/>
  <c r="AM8" i="1"/>
  <c r="AM9" i="1"/>
  <c r="AM10" i="1"/>
  <c r="AM11" i="1"/>
  <c r="AM12" i="1"/>
  <c r="AM3" i="1"/>
  <c r="AL3" i="1"/>
  <c r="AL4" i="1"/>
  <c r="AL5" i="1"/>
  <c r="AL6" i="1"/>
  <c r="AL7" i="1"/>
  <c r="AL8" i="1"/>
  <c r="AL9" i="1"/>
  <c r="AL10" i="1"/>
  <c r="AL11" i="1"/>
  <c r="AL12" i="1"/>
  <c r="AK4" i="1"/>
  <c r="AK5" i="1"/>
  <c r="AK6" i="1"/>
  <c r="AK7" i="1"/>
  <c r="AK8" i="1"/>
  <c r="AK9" i="1"/>
  <c r="AK10" i="1"/>
  <c r="AK11" i="1"/>
  <c r="AK12" i="1"/>
  <c r="AK3" i="1"/>
  <c r="AJ4" i="1"/>
  <c r="AJ5" i="1"/>
  <c r="AJ6" i="1"/>
  <c r="AJ7" i="1"/>
  <c r="AJ8" i="1"/>
  <c r="AJ9" i="1"/>
  <c r="AJ10" i="1"/>
  <c r="AJ11" i="1"/>
  <c r="AJ12" i="1"/>
  <c r="AJ3" i="1"/>
  <c r="AI4" i="1"/>
  <c r="AI5" i="1"/>
  <c r="AI6" i="1"/>
  <c r="AI7" i="1"/>
  <c r="AI8" i="1"/>
  <c r="AI9" i="1"/>
  <c r="AI10" i="1"/>
  <c r="AI11" i="1"/>
  <c r="AI12" i="1"/>
  <c r="AI3" i="1"/>
  <c r="AH4" i="1"/>
  <c r="AH5" i="1"/>
  <c r="AH6" i="1"/>
  <c r="AH7" i="1"/>
  <c r="AH8" i="1"/>
  <c r="AH9" i="1"/>
  <c r="AH10" i="1"/>
  <c r="AH11" i="1"/>
  <c r="AH12" i="1"/>
  <c r="AH3" i="1"/>
  <c r="AG4" i="1"/>
  <c r="AG5" i="1"/>
  <c r="AG6" i="1"/>
  <c r="AG7" i="1"/>
  <c r="AG8" i="1"/>
  <c r="AG9" i="1"/>
  <c r="AG10" i="1"/>
  <c r="AG11" i="1"/>
  <c r="AG12" i="1"/>
  <c r="AG3" i="1"/>
  <c r="AF4" i="1"/>
  <c r="AF5" i="1"/>
  <c r="AF6" i="1"/>
  <c r="AF7" i="1"/>
  <c r="AF8" i="1"/>
  <c r="AF9" i="1"/>
  <c r="AF10" i="1"/>
  <c r="AF11" i="1"/>
  <c r="AF12" i="1"/>
  <c r="AF3" i="1"/>
  <c r="AE4" i="1"/>
  <c r="AE5" i="1"/>
  <c r="AE6" i="1"/>
  <c r="AE7" i="1"/>
  <c r="AE8" i="1"/>
  <c r="AE9" i="1"/>
  <c r="AE10" i="1"/>
  <c r="AE11" i="1"/>
  <c r="AE12" i="1"/>
  <c r="AE3" i="1"/>
  <c r="AC4" i="1"/>
  <c r="AC5" i="1"/>
  <c r="AC6" i="1"/>
  <c r="AC7" i="1"/>
  <c r="AC8" i="1"/>
  <c r="AC9" i="1"/>
  <c r="AC10" i="1"/>
  <c r="AC11" i="1"/>
  <c r="AC12" i="1"/>
  <c r="AC3" i="1"/>
  <c r="AD4" i="1"/>
  <c r="AD6" i="1"/>
  <c r="AD7" i="1"/>
  <c r="AD9" i="1"/>
  <c r="AD10" i="1"/>
  <c r="AD12" i="1"/>
  <c r="AD3" i="1"/>
  <c r="AB4" i="1"/>
  <c r="AB5" i="1"/>
  <c r="AB6" i="1"/>
  <c r="AB7" i="1"/>
  <c r="AB8" i="1"/>
  <c r="AB9" i="1"/>
  <c r="AB10" i="1"/>
  <c r="AB11" i="1"/>
  <c r="AB12" i="1"/>
  <c r="AB3" i="1"/>
  <c r="Z4" i="1"/>
  <c r="Z5" i="1"/>
  <c r="Z6" i="1"/>
  <c r="Z7" i="1"/>
  <c r="Z8" i="1"/>
  <c r="Z9" i="1"/>
  <c r="Z10" i="1"/>
  <c r="Z11" i="1"/>
  <c r="Z12" i="1"/>
  <c r="Z3" i="1"/>
  <c r="W3" i="1"/>
  <c r="V12" i="1"/>
  <c r="V11" i="1"/>
  <c r="V10" i="1"/>
  <c r="V9" i="1"/>
  <c r="V8" i="1"/>
  <c r="V7" i="1"/>
  <c r="V6" i="1"/>
  <c r="V5" i="1"/>
  <c r="V4" i="1"/>
  <c r="V3" i="1"/>
  <c r="W4" i="1"/>
  <c r="W5" i="1"/>
  <c r="W6" i="1"/>
  <c r="W7" i="1"/>
  <c r="W8" i="1"/>
  <c r="W9" i="1"/>
  <c r="W10" i="1"/>
  <c r="W11" i="1"/>
  <c r="W12" i="1"/>
  <c r="T4" i="1"/>
  <c r="T5" i="1"/>
  <c r="T6" i="1"/>
  <c r="T7" i="1"/>
  <c r="T8" i="1"/>
  <c r="T9" i="1"/>
  <c r="T10" i="1"/>
  <c r="T11" i="1"/>
  <c r="T12" i="1"/>
  <c r="T3" i="1"/>
  <c r="R4" i="1"/>
  <c r="R5" i="1"/>
  <c r="R6" i="1"/>
  <c r="R7" i="1"/>
  <c r="R8" i="1"/>
  <c r="R9" i="1"/>
  <c r="R10" i="1"/>
  <c r="R11" i="1"/>
  <c r="R12" i="1"/>
  <c r="R3" i="1"/>
  <c r="Q4" i="1"/>
  <c r="Q5" i="1"/>
  <c r="Q6" i="1"/>
  <c r="Q7" i="1"/>
  <c r="Q8" i="1"/>
  <c r="Q9" i="1"/>
  <c r="Q10" i="1"/>
  <c r="Q11" i="1"/>
  <c r="Q12" i="1"/>
  <c r="Q3" i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3" i="1"/>
  <c r="S3" i="1" s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AD11" i="1" l="1"/>
  <c r="AD5" i="1"/>
  <c r="AD8" i="1"/>
</calcChain>
</file>

<file path=xl/sharedStrings.xml><?xml version="1.0" encoding="utf-8"?>
<sst xmlns="http://schemas.openxmlformats.org/spreadsheetml/2006/main" count="120" uniqueCount="98">
  <si>
    <t>Task_ID</t>
  </si>
  <si>
    <t>Employee</t>
  </si>
  <si>
    <t>Department</t>
  </si>
  <si>
    <t>Start_Date</t>
  </si>
  <si>
    <t>End_Date</t>
  </si>
  <si>
    <t>Deadline</t>
  </si>
  <si>
    <t>Completion_Date</t>
  </si>
  <si>
    <t>Status</t>
  </si>
  <si>
    <t>Region</t>
  </si>
  <si>
    <t>Asha</t>
  </si>
  <si>
    <t>Sales</t>
  </si>
  <si>
    <t>Completed</t>
  </si>
  <si>
    <t>South</t>
  </si>
  <si>
    <t>Ravi</t>
  </si>
  <si>
    <t>HR</t>
  </si>
  <si>
    <t>East</t>
  </si>
  <si>
    <t>John</t>
  </si>
  <si>
    <t>IT</t>
  </si>
  <si>
    <t>Pending</t>
  </si>
  <si>
    <t>West</t>
  </si>
  <si>
    <t>Meena</t>
  </si>
  <si>
    <t>Finance</t>
  </si>
  <si>
    <t>Arjun</t>
  </si>
  <si>
    <t>North</t>
  </si>
  <si>
    <t>Kavya</t>
  </si>
  <si>
    <t>Ramesh</t>
  </si>
  <si>
    <t>Sneha</t>
  </si>
  <si>
    <t>Priya</t>
  </si>
  <si>
    <t>Kiran</t>
  </si>
  <si>
    <t>Short (&lt;5 days)</t>
  </si>
  <si>
    <t>Medium (5–10 days)</t>
  </si>
  <si>
    <t>Long (&gt;10 days)</t>
  </si>
  <si>
    <t>Extract Year from Start_Date</t>
  </si>
  <si>
    <t>Convert Start_Date into format: DD-MMM-YYYY</t>
  </si>
  <si>
    <t>Find today’s date using formula</t>
  </si>
  <si>
    <t>Find current date &amp; time</t>
  </si>
  <si>
    <t>Calculate Task Duration (days), End_Date - Start_Date</t>
  </si>
  <si>
    <t>Calculate how many Days its been after the project completion till date</t>
  </si>
  <si>
    <t>Find Weekday name of Start_Date</t>
  </si>
  <si>
    <t>Check if task is done on Weekend or Weekday</t>
  </si>
  <si>
    <t>Find Month number from Completion_Date</t>
  </si>
  <si>
    <t>alculate Working Days between Start_Date &amp; End_Date</t>
  </si>
  <si>
    <t>alculate working days excluding Sunday only</t>
  </si>
  <si>
    <t>Check if task is Delayed or On Time (Compare Completion_Date &amp; Deadline)</t>
  </si>
  <si>
    <t>Find Delay Days (only if delayed)</t>
  </si>
  <si>
    <t>Find Next Working Day after Deadline</t>
  </si>
  <si>
    <t>Calculate Project Duration excluding weekends</t>
  </si>
  <si>
    <t>Identify tasks where Deadline is within next 5 days</t>
  </si>
  <si>
    <t>Calculate Age of Task (Pending tasks only), ( TODAY() - Start_Date)</t>
  </si>
  <si>
    <t>Categorize Tasks</t>
  </si>
  <si>
    <t>Extract Month Name from Start_Date</t>
  </si>
  <si>
    <t>Extract Day from Start_Date</t>
  </si>
  <si>
    <t>Questions</t>
  </si>
  <si>
    <t>Find last day of the month for Start_Date</t>
  </si>
  <si>
    <t>Find last day of previous month</t>
  </si>
  <si>
    <t>Find last day of next month</t>
  </si>
  <si>
    <t>Find number of days in the month</t>
  </si>
  <si>
    <t>Check if task completed in same month as start</t>
  </si>
  <si>
    <t>Find tasks where deadline is month-end</t>
  </si>
  <si>
    <t>Calculate days remaining in month after start date</t>
  </si>
  <si>
    <t>Find month-end of Completion_Date</t>
  </si>
  <si>
    <t>Calculate Monthly SLA compliance, Task completed before month-end</t>
  </si>
  <si>
    <t>Identify tasks spilling into next month</t>
  </si>
  <si>
    <t>Calculate billing cycle end date (Always last day of month)</t>
  </si>
  <si>
    <t>Find tasks where completion happened after month-end</t>
  </si>
  <si>
    <t>Assign Month Bucket (Jan-2024, Feb-2024 format)</t>
  </si>
  <si>
    <t>Calculate Remaining days till month-end from TODAY()</t>
  </si>
  <si>
    <t xml:space="preserve"> Month Name</t>
  </si>
  <si>
    <t xml:space="preserve">          New Year</t>
  </si>
  <si>
    <t xml:space="preserve"> DD-MMM-YYYY</t>
  </si>
  <si>
    <t>TODAY()</t>
  </si>
  <si>
    <t>NOW()</t>
  </si>
  <si>
    <t>End_Date - Start_Date</t>
  </si>
  <si>
    <t xml:space="preserve"> Till Date</t>
  </si>
  <si>
    <t>WeekDay</t>
  </si>
  <si>
    <t>Working Days</t>
  </si>
  <si>
    <t>Excluding Sunday Only</t>
  </si>
  <si>
    <t>Delayed /On Time</t>
  </si>
  <si>
    <t>Delay Days</t>
  </si>
  <si>
    <t>Weekend/Weekday</t>
  </si>
  <si>
    <t>Completion_date</t>
  </si>
  <si>
    <t xml:space="preserve"> Next working Day</t>
  </si>
  <si>
    <t xml:space="preserve"> Next 5 Years</t>
  </si>
  <si>
    <t>Project Duration</t>
  </si>
  <si>
    <t>Category Tasks - Last day</t>
  </si>
  <si>
    <t>Previous Month</t>
  </si>
  <si>
    <t xml:space="preserve"> Last Day Next Month</t>
  </si>
  <si>
    <t>No of Days</t>
  </si>
  <si>
    <t>Completed in Same Month</t>
  </si>
  <si>
    <t>Month-End</t>
  </si>
  <si>
    <t xml:space="preserve">Days Remaining </t>
  </si>
  <si>
    <t>CompletionDate</t>
  </si>
  <si>
    <t xml:space="preserve">Before Month End </t>
  </si>
  <si>
    <t>Next Month</t>
  </si>
  <si>
    <t>End Date</t>
  </si>
  <si>
    <t>Month End</t>
  </si>
  <si>
    <t>Month Bucket</t>
  </si>
  <si>
    <t>Till Month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</si>
</sst>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4" fontId="0" fillId="0" borderId="9" xfId="0" applyNumberFormat="1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15" xfId="0" applyBorder="1"/>
    <xf numFmtId="0" fontId="0" fillId="0" borderId="16" xfId="0" applyBorder="1"/>
    <xf numFmtId="0" fontId="1" fillId="2" borderId="2" xfId="0" applyFont="1" applyFill="1" applyBorder="1"/>
    <xf numFmtId="0" fontId="0" fillId="0" borderId="17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1" fillId="3" borderId="13" xfId="0" applyFont="1" applyFill="1" applyBorder="1" applyAlignment="1">
      <alignment horizontal="center"/>
    </xf>
    <xf numFmtId="14" fontId="0" fillId="0" borderId="10" xfId="0" applyNumberFormat="1" applyBorder="1"/>
    <xf numFmtId="22" fontId="0" fillId="0" borderId="10" xfId="0" applyNumberFormat="1" applyBorder="1"/>
    <xf numFmtId="164" fontId="0" fillId="0" borderId="10" xfId="0" applyNumberFormat="1" applyBorder="1"/>
    <xf numFmtId="1" fontId="0" fillId="0" borderId="10" xfId="0" applyNumberFormat="1" applyBorder="1"/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D6FF-810E-474C-960C-0005B495A4C9}">
  <dimension ref="C1:AR12"/>
  <sheetViews>
    <sheetView showGridLines="0" tabSelected="1" topLeftCell="AF1" workbookViewId="0">
      <selection activeCell="AH17" sqref="AH17"/>
    </sheetView>
  </sheetViews>
  <sheetFormatPr defaultRowHeight="14.4" x14ac:dyDescent="0.3"/>
  <cols>
    <col min="3" max="8" width="13.6640625" customWidth="1"/>
    <col min="9" max="9" width="22.77734375" customWidth="1"/>
    <col min="10" max="11" width="13.6640625" customWidth="1"/>
    <col min="12" max="12" width="18.6640625" customWidth="1"/>
    <col min="13" max="13" width="13.5546875" customWidth="1"/>
    <col min="14" max="14" width="11.88671875" customWidth="1"/>
    <col min="15" max="15" width="17.109375" customWidth="1"/>
    <col min="16" max="16" width="12.5546875" customWidth="1"/>
    <col min="17" max="17" width="14.5546875" customWidth="1"/>
    <col min="18" max="18" width="21.88671875" customWidth="1"/>
    <col min="19" max="19" width="14.6640625" customWidth="1"/>
    <col min="20" max="20" width="11.6640625" customWidth="1"/>
    <col min="21" max="21" width="17.109375" customWidth="1"/>
    <col min="22" max="22" width="18.5546875" customWidth="1"/>
    <col min="23" max="23" width="14.88671875" customWidth="1"/>
    <col min="24" max="24" width="26.33203125" customWidth="1"/>
    <col min="25" max="25" width="17.21875" customWidth="1"/>
    <col min="26" max="26" width="12.33203125" customWidth="1"/>
    <col min="27" max="27" width="18.21875" customWidth="1"/>
    <col min="28" max="28" width="17" customWidth="1"/>
    <col min="29" max="29" width="14.33203125" customWidth="1"/>
    <col min="31" max="31" width="23.5546875" customWidth="1"/>
    <col min="32" max="32" width="18.21875" customWidth="1"/>
    <col min="33" max="33" width="17.6640625" customWidth="1"/>
    <col min="34" max="34" width="12.44140625" customWidth="1"/>
    <col min="35" max="35" width="23.44140625" customWidth="1"/>
    <col min="36" max="36" width="12.6640625" customWidth="1"/>
    <col min="37" max="37" width="16.21875" customWidth="1"/>
    <col min="38" max="38" width="17.21875" customWidth="1"/>
    <col min="39" max="39" width="18.6640625" customWidth="1"/>
    <col min="40" max="40" width="12.77734375" customWidth="1"/>
    <col min="41" max="41" width="16.109375" customWidth="1"/>
    <col min="42" max="42" width="10.77734375" customWidth="1"/>
    <col min="43" max="43" width="14.44140625" customWidth="1"/>
    <col min="44" max="44" width="15.44140625" customWidth="1"/>
  </cols>
  <sheetData>
    <row r="1" spans="3:44" ht="15" thickBot="1" x14ac:dyDescent="0.35"/>
    <row r="2" spans="3:44" ht="15" thickBot="1" x14ac:dyDescent="0.35">
      <c r="C2" s="10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2" t="s">
        <v>8</v>
      </c>
      <c r="L2" s="22" t="s">
        <v>68</v>
      </c>
      <c r="M2" s="22" t="s">
        <v>67</v>
      </c>
      <c r="N2" s="22" t="s">
        <v>3</v>
      </c>
      <c r="O2" s="22" t="s">
        <v>69</v>
      </c>
      <c r="P2" s="22" t="s">
        <v>70</v>
      </c>
      <c r="Q2" s="22" t="s">
        <v>71</v>
      </c>
      <c r="R2" s="22" t="s">
        <v>72</v>
      </c>
      <c r="S2" s="22" t="s">
        <v>73</v>
      </c>
      <c r="T2" s="22" t="s">
        <v>74</v>
      </c>
      <c r="U2" s="22" t="s">
        <v>79</v>
      </c>
      <c r="V2" s="22" t="s">
        <v>80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81</v>
      </c>
      <c r="AB2" s="22" t="s">
        <v>83</v>
      </c>
      <c r="AC2" s="22" t="s">
        <v>82</v>
      </c>
      <c r="AD2" s="22" t="s">
        <v>18</v>
      </c>
      <c r="AE2" s="22" t="s">
        <v>84</v>
      </c>
      <c r="AF2" s="22" t="s">
        <v>85</v>
      </c>
      <c r="AG2" s="22" t="s">
        <v>86</v>
      </c>
      <c r="AH2" s="22" t="s">
        <v>87</v>
      </c>
      <c r="AI2" s="22" t="s">
        <v>88</v>
      </c>
      <c r="AJ2" s="22" t="s">
        <v>89</v>
      </c>
      <c r="AK2" s="22" t="s">
        <v>90</v>
      </c>
      <c r="AL2" s="22" t="s">
        <v>91</v>
      </c>
      <c r="AM2" s="22" t="s">
        <v>92</v>
      </c>
      <c r="AN2" s="22" t="s">
        <v>93</v>
      </c>
      <c r="AO2" s="22" t="s">
        <v>94</v>
      </c>
      <c r="AP2" s="22" t="s">
        <v>95</v>
      </c>
      <c r="AQ2" s="22" t="s">
        <v>96</v>
      </c>
      <c r="AR2" s="22" t="s">
        <v>97</v>
      </c>
    </row>
    <row r="3" spans="3:44" x14ac:dyDescent="0.3">
      <c r="C3" s="7">
        <v>101</v>
      </c>
      <c r="D3" s="8" t="s">
        <v>9</v>
      </c>
      <c r="E3" s="8" t="s">
        <v>10</v>
      </c>
      <c r="F3" s="13">
        <v>46023</v>
      </c>
      <c r="G3" s="13">
        <v>46027</v>
      </c>
      <c r="H3" s="13">
        <v>46028</v>
      </c>
      <c r="I3" s="13">
        <v>46027</v>
      </c>
      <c r="J3" s="8" t="s">
        <v>11</v>
      </c>
      <c r="K3" s="9" t="s">
        <v>12</v>
      </c>
      <c r="L3" s="9">
        <f>YEAR(F3)</f>
        <v>2026</v>
      </c>
      <c r="M3" s="9" t="str">
        <f>TEXT(F3,"mmm")</f>
        <v>Jan</v>
      </c>
      <c r="N3" s="9">
        <f>DAY(F3)</f>
        <v>1</v>
      </c>
      <c r="O3" s="9" t="str">
        <f>TEXT(F3,"DD-MMM-YYYY")</f>
        <v>01-Jan-2026</v>
      </c>
      <c r="P3" s="23">
        <f ca="1">TODAY()</f>
        <v>46155</v>
      </c>
      <c r="Q3" s="24">
        <f ca="1">NOW()</f>
        <v>46155.549539930558</v>
      </c>
      <c r="R3" s="9">
        <f>_xlfn.DAYS(G3,F3)</f>
        <v>4</v>
      </c>
      <c r="S3" s="9">
        <f ca="1">DATEDIF(I3,P3,"d")</f>
        <v>128</v>
      </c>
      <c r="T3" s="9" t="str">
        <f>TEXT(F3,"dddd")</f>
        <v>Thursday</v>
      </c>
      <c r="U3" s="9" t="str">
        <f>IF(WEEKDAY(I3,2)&gt;5,"Weekend","weekday")</f>
        <v>weekday</v>
      </c>
      <c r="V3" s="9">
        <f>IF(I3="","",MONTH(I3))</f>
        <v>1</v>
      </c>
      <c r="W3" s="9">
        <f>NETWORKDAYS(F3,G3)</f>
        <v>3</v>
      </c>
      <c r="X3" s="9">
        <f>IF(I3="","",IF(I3&gt;H3,I3-H3,0))</f>
        <v>0</v>
      </c>
      <c r="Y3" s="9" t="str">
        <f>IF(H3&gt;I3,"On Time","Delayed")</f>
        <v>On Time</v>
      </c>
      <c r="Z3" s="9">
        <f>IF(I3="","",IF(I3&gt;H3,I3-H3,0))</f>
        <v>0</v>
      </c>
      <c r="AA3" s="25">
        <f>WORKDAY(H3,1)</f>
        <v>46029</v>
      </c>
      <c r="AB3" s="9">
        <f>NETWORKDAYS.INTL(F3,G3,1)</f>
        <v>3</v>
      </c>
      <c r="AC3" s="9">
        <f>IF(I3=" ",P3-F3,I3-F3)</f>
        <v>4</v>
      </c>
      <c r="AD3" s="9" t="str">
        <f>IF(J3="Pending",P3-F3,"")</f>
        <v/>
      </c>
      <c r="AE3" s="25">
        <f>EOMONTH(F3,0)</f>
        <v>46053</v>
      </c>
      <c r="AF3" s="25">
        <f>EOMONTH(F3,-1)</f>
        <v>46022</v>
      </c>
      <c r="AG3" s="25">
        <f>EOMONTH(F3,1)</f>
        <v>46081</v>
      </c>
      <c r="AH3" s="9">
        <f>DAY(EOMONTH(F3,0))</f>
        <v>31</v>
      </c>
      <c r="AI3" s="9" t="str">
        <f>IF(MONTH(F3)=MONTH(G3),"Yes","No")</f>
        <v>Yes</v>
      </c>
      <c r="AJ3" s="9" t="str">
        <f>IF(H3=EOMONTH(H3,0),"Yes","No")</f>
        <v>No</v>
      </c>
      <c r="AK3" s="26">
        <f>EOMONTH(F3,0)-F3</f>
        <v>30</v>
      </c>
      <c r="AL3" s="25">
        <f>EOMONTH(I3,0)</f>
        <v>46053</v>
      </c>
      <c r="AM3" s="9" t="str">
        <f>IF(I3="","",IF(I3&lt;=EOMONTH(I3,0),"Completed","Not Completed"))</f>
        <v>Completed</v>
      </c>
      <c r="AN3" s="23">
        <f>EOMONTH(G3,0)+1</f>
        <v>46054</v>
      </c>
      <c r="AO3" s="25">
        <f>EOMONTH(F3,0)</f>
        <v>46053</v>
      </c>
      <c r="AP3" s="9" t="str">
        <f>IF(I3&gt;"","",IF(I3&gt;EOMONTH(I3,0),"Yes","No"))</f>
        <v>No</v>
      </c>
      <c r="AQ3" s="9" t="str">
        <f>TEXT(F3,"mmm-yyyy")</f>
        <v>Jan-2026</v>
      </c>
      <c r="AR3" s="23">
        <f ca="1">EOMONTH(TODAY(),0)-TODAY()</f>
        <v>18</v>
      </c>
    </row>
    <row r="4" spans="3:44" x14ac:dyDescent="0.3">
      <c r="C4" s="2">
        <v>102</v>
      </c>
      <c r="D4" s="1" t="s">
        <v>13</v>
      </c>
      <c r="E4" s="1" t="s">
        <v>14</v>
      </c>
      <c r="F4" s="14">
        <v>46025</v>
      </c>
      <c r="G4" s="14">
        <v>46032</v>
      </c>
      <c r="H4" s="14">
        <v>46031</v>
      </c>
      <c r="I4" s="14">
        <v>46033</v>
      </c>
      <c r="J4" s="1" t="s">
        <v>11</v>
      </c>
      <c r="K4" s="3" t="s">
        <v>15</v>
      </c>
      <c r="L4" s="9">
        <f t="shared" ref="L4:L12" si="0">YEAR(F4)</f>
        <v>2026</v>
      </c>
      <c r="M4" s="9" t="str">
        <f t="shared" ref="M4:M12" si="1">TEXT(F4,"mmm")</f>
        <v>Jan</v>
      </c>
      <c r="N4" s="9">
        <f t="shared" ref="N4:N12" si="2">DAY(F4)</f>
        <v>3</v>
      </c>
      <c r="O4" s="9" t="str">
        <f t="shared" ref="O4:O12" si="3">TEXT(F4,"DD-MMM-YYYY")</f>
        <v>03-Jan-2026</v>
      </c>
      <c r="P4" s="23">
        <f t="shared" ref="P4:P12" ca="1" si="4">TODAY()</f>
        <v>46155</v>
      </c>
      <c r="Q4" s="24">
        <f t="shared" ref="Q4:Q12" ca="1" si="5">NOW()</f>
        <v>46155.549539930558</v>
      </c>
      <c r="R4" s="9">
        <f t="shared" ref="R4:R12" si="6">_xlfn.DAYS(G4,F4)</f>
        <v>7</v>
      </c>
      <c r="S4" s="9">
        <f t="shared" ref="S4:S12" ca="1" si="7">DATEDIF(I4,P4,"d")</f>
        <v>122</v>
      </c>
      <c r="T4" s="9" t="str">
        <f t="shared" ref="T4:T12" si="8">TEXT(F4,"dddd")</f>
        <v>Saturday</v>
      </c>
      <c r="U4" s="9" t="str">
        <f t="shared" ref="U4:U12" si="9">IF(WEEKDAY(I4,2)&gt;5,"Weekend","weekday")</f>
        <v>Weekend</v>
      </c>
      <c r="V4" s="9">
        <f t="shared" ref="V4:V12" si="10">IF(I4="","",MONTH(I4))</f>
        <v>1</v>
      </c>
      <c r="W4" s="9">
        <f t="shared" ref="W4:W12" si="11">NETWORKDAYS(F4,G4)</f>
        <v>5</v>
      </c>
      <c r="X4" s="9">
        <f t="shared" ref="X4:X12" si="12">IF(I4="","",IF(I4&gt;H4,I4-H4,0))</f>
        <v>2</v>
      </c>
      <c r="Y4" s="9" t="str">
        <f t="shared" ref="Y4:Y12" si="13">IF(H4&gt;I4,"On Time","Delayed")</f>
        <v>Delayed</v>
      </c>
      <c r="Z4" s="9">
        <f t="shared" ref="Z4:Z12" si="14">IF(I4="","",IF(I4&gt;H4,I4-H4,0))</f>
        <v>2</v>
      </c>
      <c r="AA4" s="25">
        <f t="shared" ref="AA4:AA12" si="15">WORKDAY(H4,1)</f>
        <v>46034</v>
      </c>
      <c r="AB4" s="9">
        <f t="shared" ref="AB4:AB12" si="16">NETWORKDAYS.INTL(F4,G4,1)</f>
        <v>5</v>
      </c>
      <c r="AC4" s="9">
        <f t="shared" ref="AC4:AC12" si="17">IF(I4=" ",P4-F4,I4-F4)</f>
        <v>8</v>
      </c>
      <c r="AD4" s="9" t="str">
        <f t="shared" ref="AD4:AD12" si="18">IF(J4="Pending",P4-F4,"")</f>
        <v/>
      </c>
      <c r="AE4" s="25">
        <f t="shared" ref="AE4:AE12" si="19">EOMONTH(F4,0)</f>
        <v>46053</v>
      </c>
      <c r="AF4" s="25">
        <f t="shared" ref="AF4:AF12" si="20">EOMONTH(F4,-1)</f>
        <v>46022</v>
      </c>
      <c r="AG4" s="25">
        <f t="shared" ref="AG4:AG12" si="21">EOMONTH(F4,1)</f>
        <v>46081</v>
      </c>
      <c r="AH4" s="9">
        <f t="shared" ref="AH4:AH12" si="22">DAY(EOMONTH(F4,0))</f>
        <v>31</v>
      </c>
      <c r="AI4" s="9" t="str">
        <f t="shared" ref="AI4:AI12" si="23">IF(MONTH(F4)=MONTH(G4),"Yes","No")</f>
        <v>Yes</v>
      </c>
      <c r="AJ4" s="9" t="str">
        <f t="shared" ref="AJ4:AJ12" si="24">IF(H4=EOMONTH(H4,0),"Yes","No")</f>
        <v>No</v>
      </c>
      <c r="AK4" s="26">
        <f t="shared" ref="AK4:AK12" si="25">EOMONTH(F4,0)-F4</f>
        <v>28</v>
      </c>
      <c r="AL4" s="25">
        <f t="shared" ref="AL4:AL12" si="26">EOMONTH(I4,0)</f>
        <v>46053</v>
      </c>
      <c r="AM4" s="9" t="str">
        <f t="shared" ref="AM4:AM12" si="27">IF(I4="","",IF(I4&lt;=EOMONTH(I4,0),"Completed","Not Completed"))</f>
        <v>Completed</v>
      </c>
      <c r="AN4" s="23">
        <f t="shared" ref="AN4:AN12" si="28">EOMONTH(G4,0)+1</f>
        <v>46054</v>
      </c>
      <c r="AO4" s="25">
        <f t="shared" ref="AO4:AO12" si="29">EOMONTH(F4,0)</f>
        <v>46053</v>
      </c>
      <c r="AP4" s="9" t="str">
        <f t="shared" ref="AP4:AP12" si="30">IF(I4&gt;"","",IF(I4&gt;EOMONTH(I4,0),"Yes","No"))</f>
        <v>No</v>
      </c>
      <c r="AQ4" s="9" t="str">
        <f t="shared" ref="AQ4:AQ11" si="31">TEXT(F4,"mmm-yyyy")</f>
        <v>Jan-2026</v>
      </c>
      <c r="AR4" s="23">
        <f t="shared" ref="AR4:AR12" ca="1" si="32">EOMONTH(TODAY(),0)-TODAY()</f>
        <v>18</v>
      </c>
    </row>
    <row r="5" spans="3:44" x14ac:dyDescent="0.3">
      <c r="C5" s="2">
        <v>103</v>
      </c>
      <c r="D5" s="1" t="s">
        <v>16</v>
      </c>
      <c r="E5" s="1" t="s">
        <v>17</v>
      </c>
      <c r="F5" s="14">
        <v>46027</v>
      </c>
      <c r="G5" s="14">
        <v>46037</v>
      </c>
      <c r="H5" s="14">
        <v>46036</v>
      </c>
      <c r="I5" s="14"/>
      <c r="J5" s="1" t="s">
        <v>18</v>
      </c>
      <c r="K5" s="3" t="s">
        <v>19</v>
      </c>
      <c r="L5" s="9">
        <f t="shared" si="0"/>
        <v>2026</v>
      </c>
      <c r="M5" s="9" t="str">
        <f t="shared" si="1"/>
        <v>Jan</v>
      </c>
      <c r="N5" s="9">
        <f t="shared" si="2"/>
        <v>5</v>
      </c>
      <c r="O5" s="9" t="str">
        <f t="shared" si="3"/>
        <v>05-Jan-2026</v>
      </c>
      <c r="P5" s="23">
        <f t="shared" ca="1" si="4"/>
        <v>46155</v>
      </c>
      <c r="Q5" s="24">
        <f t="shared" ca="1" si="5"/>
        <v>46155.549539930558</v>
      </c>
      <c r="R5" s="9">
        <f t="shared" si="6"/>
        <v>10</v>
      </c>
      <c r="S5" s="9">
        <f t="shared" ca="1" si="7"/>
        <v>46155</v>
      </c>
      <c r="T5" s="9" t="str">
        <f t="shared" si="8"/>
        <v>Monday</v>
      </c>
      <c r="U5" s="9" t="str">
        <f t="shared" si="9"/>
        <v>Weekend</v>
      </c>
      <c r="V5" s="9" t="str">
        <f t="shared" si="10"/>
        <v/>
      </c>
      <c r="W5" s="9">
        <f t="shared" si="11"/>
        <v>9</v>
      </c>
      <c r="X5" s="9" t="str">
        <f t="shared" si="12"/>
        <v/>
      </c>
      <c r="Y5" s="9" t="str">
        <f t="shared" si="13"/>
        <v>On Time</v>
      </c>
      <c r="Z5" s="9" t="str">
        <f t="shared" si="14"/>
        <v/>
      </c>
      <c r="AA5" s="25">
        <f t="shared" si="15"/>
        <v>46037</v>
      </c>
      <c r="AB5" s="9">
        <f t="shared" si="16"/>
        <v>9</v>
      </c>
      <c r="AC5" s="9">
        <f t="shared" si="17"/>
        <v>-46027</v>
      </c>
      <c r="AD5" s="9">
        <f t="shared" ca="1" si="18"/>
        <v>128</v>
      </c>
      <c r="AE5" s="25">
        <f t="shared" si="19"/>
        <v>46053</v>
      </c>
      <c r="AF5" s="25">
        <f t="shared" si="20"/>
        <v>46022</v>
      </c>
      <c r="AG5" s="25">
        <f t="shared" si="21"/>
        <v>46081</v>
      </c>
      <c r="AH5" s="9">
        <f t="shared" si="22"/>
        <v>31</v>
      </c>
      <c r="AI5" s="9" t="str">
        <f t="shared" si="23"/>
        <v>Yes</v>
      </c>
      <c r="AJ5" s="9" t="str">
        <f t="shared" si="24"/>
        <v>No</v>
      </c>
      <c r="AK5" s="26">
        <f t="shared" si="25"/>
        <v>26</v>
      </c>
      <c r="AL5" s="25">
        <f t="shared" si="26"/>
        <v>31</v>
      </c>
      <c r="AM5" s="9" t="str">
        <f t="shared" si="27"/>
        <v/>
      </c>
      <c r="AN5" s="23">
        <f t="shared" si="28"/>
        <v>46054</v>
      </c>
      <c r="AO5" s="25">
        <f t="shared" si="29"/>
        <v>46053</v>
      </c>
      <c r="AP5" s="9" t="str">
        <f t="shared" si="30"/>
        <v>No</v>
      </c>
      <c r="AQ5" s="9" t="str">
        <f t="shared" si="31"/>
        <v>Jan-2026</v>
      </c>
      <c r="AR5" s="23">
        <f t="shared" ca="1" si="32"/>
        <v>18</v>
      </c>
    </row>
    <row r="6" spans="3:44" x14ac:dyDescent="0.3">
      <c r="C6" s="2">
        <v>104</v>
      </c>
      <c r="D6" s="1" t="s">
        <v>20</v>
      </c>
      <c r="E6" s="1" t="s">
        <v>21</v>
      </c>
      <c r="F6" s="14">
        <v>46029</v>
      </c>
      <c r="G6" s="14">
        <v>46034</v>
      </c>
      <c r="H6" s="14">
        <v>46034</v>
      </c>
      <c r="I6" s="14">
        <v>46034</v>
      </c>
      <c r="J6" s="1" t="s">
        <v>11</v>
      </c>
      <c r="K6" s="3" t="s">
        <v>12</v>
      </c>
      <c r="L6" s="9">
        <f t="shared" si="0"/>
        <v>2026</v>
      </c>
      <c r="M6" s="9" t="str">
        <f t="shared" si="1"/>
        <v>Jan</v>
      </c>
      <c r="N6" s="9">
        <f t="shared" si="2"/>
        <v>7</v>
      </c>
      <c r="O6" s="9" t="str">
        <f t="shared" si="3"/>
        <v>07-Jan-2026</v>
      </c>
      <c r="P6" s="23">
        <f t="shared" ca="1" si="4"/>
        <v>46155</v>
      </c>
      <c r="Q6" s="24">
        <f t="shared" ca="1" si="5"/>
        <v>46155.549539930558</v>
      </c>
      <c r="R6" s="9">
        <f t="shared" si="6"/>
        <v>5</v>
      </c>
      <c r="S6" s="9">
        <f t="shared" ca="1" si="7"/>
        <v>121</v>
      </c>
      <c r="T6" s="9" t="str">
        <f t="shared" si="8"/>
        <v>Wednesday</v>
      </c>
      <c r="U6" s="9" t="str">
        <f t="shared" si="9"/>
        <v>weekday</v>
      </c>
      <c r="V6" s="9">
        <f t="shared" si="10"/>
        <v>1</v>
      </c>
      <c r="W6" s="9">
        <f t="shared" si="11"/>
        <v>4</v>
      </c>
      <c r="X6" s="9">
        <f t="shared" si="12"/>
        <v>0</v>
      </c>
      <c r="Y6" s="9" t="str">
        <f t="shared" si="13"/>
        <v>Delayed</v>
      </c>
      <c r="Z6" s="9">
        <f t="shared" si="14"/>
        <v>0</v>
      </c>
      <c r="AA6" s="25">
        <f t="shared" si="15"/>
        <v>46035</v>
      </c>
      <c r="AB6" s="9">
        <f t="shared" si="16"/>
        <v>4</v>
      </c>
      <c r="AC6" s="9">
        <f t="shared" si="17"/>
        <v>5</v>
      </c>
      <c r="AD6" s="9" t="str">
        <f t="shared" si="18"/>
        <v/>
      </c>
      <c r="AE6" s="25">
        <f t="shared" si="19"/>
        <v>46053</v>
      </c>
      <c r="AF6" s="25">
        <f t="shared" si="20"/>
        <v>46022</v>
      </c>
      <c r="AG6" s="25">
        <f t="shared" si="21"/>
        <v>46081</v>
      </c>
      <c r="AH6" s="9">
        <f t="shared" si="22"/>
        <v>31</v>
      </c>
      <c r="AI6" s="9" t="str">
        <f t="shared" si="23"/>
        <v>Yes</v>
      </c>
      <c r="AJ6" s="9" t="str">
        <f t="shared" si="24"/>
        <v>No</v>
      </c>
      <c r="AK6" s="26">
        <f t="shared" si="25"/>
        <v>24</v>
      </c>
      <c r="AL6" s="25">
        <f t="shared" si="26"/>
        <v>46053</v>
      </c>
      <c r="AM6" s="9" t="str">
        <f t="shared" si="27"/>
        <v>Completed</v>
      </c>
      <c r="AN6" s="23">
        <f t="shared" si="28"/>
        <v>46054</v>
      </c>
      <c r="AO6" s="25">
        <f t="shared" si="29"/>
        <v>46053</v>
      </c>
      <c r="AP6" s="9" t="str">
        <f t="shared" si="30"/>
        <v>No</v>
      </c>
      <c r="AQ6" s="9" t="str">
        <f t="shared" si="31"/>
        <v>Jan-2026</v>
      </c>
      <c r="AR6" s="23">
        <f t="shared" ca="1" si="32"/>
        <v>18</v>
      </c>
    </row>
    <row r="7" spans="3:44" x14ac:dyDescent="0.3">
      <c r="C7" s="2">
        <v>105</v>
      </c>
      <c r="D7" s="1" t="s">
        <v>22</v>
      </c>
      <c r="E7" s="1" t="s">
        <v>10</v>
      </c>
      <c r="F7" s="14">
        <v>46032</v>
      </c>
      <c r="G7" s="14">
        <v>46042</v>
      </c>
      <c r="H7" s="14">
        <v>46040</v>
      </c>
      <c r="I7" s="14">
        <v>46041</v>
      </c>
      <c r="J7" s="1" t="s">
        <v>11</v>
      </c>
      <c r="K7" s="3" t="s">
        <v>23</v>
      </c>
      <c r="L7" s="9">
        <f t="shared" si="0"/>
        <v>2026</v>
      </c>
      <c r="M7" s="9" t="str">
        <f t="shared" si="1"/>
        <v>Jan</v>
      </c>
      <c r="N7" s="9">
        <f t="shared" si="2"/>
        <v>10</v>
      </c>
      <c r="O7" s="9" t="str">
        <f t="shared" si="3"/>
        <v>10-Jan-2026</v>
      </c>
      <c r="P7" s="23">
        <f t="shared" ca="1" si="4"/>
        <v>46155</v>
      </c>
      <c r="Q7" s="24">
        <f t="shared" ca="1" si="5"/>
        <v>46155.549539930558</v>
      </c>
      <c r="R7" s="9">
        <f t="shared" si="6"/>
        <v>10</v>
      </c>
      <c r="S7" s="9">
        <f t="shared" ca="1" si="7"/>
        <v>114</v>
      </c>
      <c r="T7" s="9" t="str">
        <f t="shared" si="8"/>
        <v>Saturday</v>
      </c>
      <c r="U7" s="9" t="str">
        <f t="shared" si="9"/>
        <v>weekday</v>
      </c>
      <c r="V7" s="9">
        <f t="shared" si="10"/>
        <v>1</v>
      </c>
      <c r="W7" s="9">
        <f t="shared" si="11"/>
        <v>7</v>
      </c>
      <c r="X7" s="9">
        <f t="shared" si="12"/>
        <v>1</v>
      </c>
      <c r="Y7" s="9" t="str">
        <f t="shared" si="13"/>
        <v>Delayed</v>
      </c>
      <c r="Z7" s="9">
        <f t="shared" si="14"/>
        <v>1</v>
      </c>
      <c r="AA7" s="25">
        <f t="shared" si="15"/>
        <v>46041</v>
      </c>
      <c r="AB7" s="9">
        <f t="shared" si="16"/>
        <v>7</v>
      </c>
      <c r="AC7" s="9">
        <f t="shared" si="17"/>
        <v>9</v>
      </c>
      <c r="AD7" s="9" t="str">
        <f t="shared" si="18"/>
        <v/>
      </c>
      <c r="AE7" s="25">
        <f t="shared" si="19"/>
        <v>46053</v>
      </c>
      <c r="AF7" s="25">
        <f t="shared" si="20"/>
        <v>46022</v>
      </c>
      <c r="AG7" s="25">
        <f t="shared" si="21"/>
        <v>46081</v>
      </c>
      <c r="AH7" s="9">
        <f t="shared" si="22"/>
        <v>31</v>
      </c>
      <c r="AI7" s="9" t="str">
        <f t="shared" si="23"/>
        <v>Yes</v>
      </c>
      <c r="AJ7" s="9" t="str">
        <f t="shared" si="24"/>
        <v>No</v>
      </c>
      <c r="AK7" s="26">
        <f t="shared" si="25"/>
        <v>21</v>
      </c>
      <c r="AL7" s="25">
        <f t="shared" si="26"/>
        <v>46053</v>
      </c>
      <c r="AM7" s="9" t="str">
        <f t="shared" si="27"/>
        <v>Completed</v>
      </c>
      <c r="AN7" s="23">
        <f t="shared" si="28"/>
        <v>46054</v>
      </c>
      <c r="AO7" s="25">
        <f t="shared" si="29"/>
        <v>46053</v>
      </c>
      <c r="AP7" s="9" t="str">
        <f t="shared" si="30"/>
        <v>No</v>
      </c>
      <c r="AQ7" s="9" t="str">
        <f t="shared" si="31"/>
        <v>Jan-2026</v>
      </c>
      <c r="AR7" s="23">
        <f t="shared" ca="1" si="32"/>
        <v>18</v>
      </c>
    </row>
    <row r="8" spans="3:44" x14ac:dyDescent="0.3">
      <c r="C8" s="2">
        <v>106</v>
      </c>
      <c r="D8" s="1" t="s">
        <v>24</v>
      </c>
      <c r="E8" s="1" t="s">
        <v>17</v>
      </c>
      <c r="F8" s="14">
        <v>46034</v>
      </c>
      <c r="G8" s="14">
        <v>46047</v>
      </c>
      <c r="H8" s="14">
        <v>46046</v>
      </c>
      <c r="I8" s="14"/>
      <c r="J8" s="1" t="s">
        <v>18</v>
      </c>
      <c r="K8" s="3" t="s">
        <v>15</v>
      </c>
      <c r="L8" s="9">
        <f t="shared" si="0"/>
        <v>2026</v>
      </c>
      <c r="M8" s="9" t="str">
        <f t="shared" si="1"/>
        <v>Jan</v>
      </c>
      <c r="N8" s="9">
        <f t="shared" si="2"/>
        <v>12</v>
      </c>
      <c r="O8" s="9" t="str">
        <f t="shared" si="3"/>
        <v>12-Jan-2026</v>
      </c>
      <c r="P8" s="23">
        <f t="shared" ca="1" si="4"/>
        <v>46155</v>
      </c>
      <c r="Q8" s="24">
        <f t="shared" ca="1" si="5"/>
        <v>46155.549539930558</v>
      </c>
      <c r="R8" s="9">
        <f t="shared" si="6"/>
        <v>13</v>
      </c>
      <c r="S8" s="9">
        <f t="shared" ca="1" si="7"/>
        <v>46155</v>
      </c>
      <c r="T8" s="9" t="str">
        <f t="shared" si="8"/>
        <v>Monday</v>
      </c>
      <c r="U8" s="9" t="str">
        <f t="shared" si="9"/>
        <v>Weekend</v>
      </c>
      <c r="V8" s="9" t="str">
        <f t="shared" si="10"/>
        <v/>
      </c>
      <c r="W8" s="9">
        <f t="shared" si="11"/>
        <v>10</v>
      </c>
      <c r="X8" s="9" t="str">
        <f t="shared" si="12"/>
        <v/>
      </c>
      <c r="Y8" s="9" t="str">
        <f t="shared" si="13"/>
        <v>On Time</v>
      </c>
      <c r="Z8" s="9" t="str">
        <f t="shared" si="14"/>
        <v/>
      </c>
      <c r="AA8" s="25">
        <f t="shared" si="15"/>
        <v>46048</v>
      </c>
      <c r="AB8" s="9">
        <f t="shared" si="16"/>
        <v>10</v>
      </c>
      <c r="AC8" s="9">
        <f t="shared" si="17"/>
        <v>-46034</v>
      </c>
      <c r="AD8" s="9">
        <f t="shared" ca="1" si="18"/>
        <v>121</v>
      </c>
      <c r="AE8" s="25">
        <f t="shared" si="19"/>
        <v>46053</v>
      </c>
      <c r="AF8" s="25">
        <f t="shared" si="20"/>
        <v>46022</v>
      </c>
      <c r="AG8" s="25">
        <f t="shared" si="21"/>
        <v>46081</v>
      </c>
      <c r="AH8" s="9">
        <f t="shared" si="22"/>
        <v>31</v>
      </c>
      <c r="AI8" s="9" t="str">
        <f t="shared" si="23"/>
        <v>Yes</v>
      </c>
      <c r="AJ8" s="9" t="str">
        <f t="shared" si="24"/>
        <v>No</v>
      </c>
      <c r="AK8" s="26">
        <f t="shared" si="25"/>
        <v>19</v>
      </c>
      <c r="AL8" s="25">
        <f t="shared" si="26"/>
        <v>31</v>
      </c>
      <c r="AM8" s="9" t="str">
        <f t="shared" si="27"/>
        <v/>
      </c>
      <c r="AN8" s="23">
        <f t="shared" si="28"/>
        <v>46054</v>
      </c>
      <c r="AO8" s="25">
        <f t="shared" si="29"/>
        <v>46053</v>
      </c>
      <c r="AP8" s="9" t="str">
        <f t="shared" si="30"/>
        <v>No</v>
      </c>
      <c r="AQ8" s="9" t="str">
        <f t="shared" si="31"/>
        <v>Jan-2026</v>
      </c>
      <c r="AR8" s="23">
        <f t="shared" ca="1" si="32"/>
        <v>18</v>
      </c>
    </row>
    <row r="9" spans="3:44" x14ac:dyDescent="0.3">
      <c r="C9" s="2">
        <v>107</v>
      </c>
      <c r="D9" s="1" t="s">
        <v>25</v>
      </c>
      <c r="E9" s="1" t="s">
        <v>14</v>
      </c>
      <c r="F9" s="14">
        <v>46037</v>
      </c>
      <c r="G9" s="14">
        <v>46044</v>
      </c>
      <c r="H9" s="14">
        <v>46043</v>
      </c>
      <c r="I9" s="14">
        <v>46042</v>
      </c>
      <c r="J9" s="1" t="s">
        <v>11</v>
      </c>
      <c r="K9" s="3" t="s">
        <v>19</v>
      </c>
      <c r="L9" s="9">
        <f t="shared" si="0"/>
        <v>2026</v>
      </c>
      <c r="M9" s="9" t="str">
        <f t="shared" si="1"/>
        <v>Jan</v>
      </c>
      <c r="N9" s="9">
        <f t="shared" si="2"/>
        <v>15</v>
      </c>
      <c r="O9" s="9" t="str">
        <f t="shared" si="3"/>
        <v>15-Jan-2026</v>
      </c>
      <c r="P9" s="23">
        <f t="shared" ca="1" si="4"/>
        <v>46155</v>
      </c>
      <c r="Q9" s="24">
        <f t="shared" ca="1" si="5"/>
        <v>46155.549539930558</v>
      </c>
      <c r="R9" s="9">
        <f t="shared" si="6"/>
        <v>7</v>
      </c>
      <c r="S9" s="9">
        <f t="shared" ca="1" si="7"/>
        <v>113</v>
      </c>
      <c r="T9" s="9" t="str">
        <f t="shared" si="8"/>
        <v>Thursday</v>
      </c>
      <c r="U9" s="9" t="str">
        <f t="shared" si="9"/>
        <v>weekday</v>
      </c>
      <c r="V9" s="9">
        <f t="shared" si="10"/>
        <v>1</v>
      </c>
      <c r="W9" s="9">
        <f t="shared" si="11"/>
        <v>6</v>
      </c>
      <c r="X9" s="9">
        <f t="shared" si="12"/>
        <v>0</v>
      </c>
      <c r="Y9" s="9" t="str">
        <f t="shared" si="13"/>
        <v>On Time</v>
      </c>
      <c r="Z9" s="9">
        <f t="shared" si="14"/>
        <v>0</v>
      </c>
      <c r="AA9" s="25">
        <f t="shared" si="15"/>
        <v>46044</v>
      </c>
      <c r="AB9" s="9">
        <f t="shared" si="16"/>
        <v>6</v>
      </c>
      <c r="AC9" s="9">
        <f t="shared" si="17"/>
        <v>5</v>
      </c>
      <c r="AD9" s="9" t="str">
        <f t="shared" si="18"/>
        <v/>
      </c>
      <c r="AE9" s="25">
        <f t="shared" si="19"/>
        <v>46053</v>
      </c>
      <c r="AF9" s="25">
        <f t="shared" si="20"/>
        <v>46022</v>
      </c>
      <c r="AG9" s="25">
        <f t="shared" si="21"/>
        <v>46081</v>
      </c>
      <c r="AH9" s="9">
        <f t="shared" si="22"/>
        <v>31</v>
      </c>
      <c r="AI9" s="9" t="str">
        <f t="shared" si="23"/>
        <v>Yes</v>
      </c>
      <c r="AJ9" s="9" t="str">
        <f t="shared" si="24"/>
        <v>No</v>
      </c>
      <c r="AK9" s="26">
        <f t="shared" si="25"/>
        <v>16</v>
      </c>
      <c r="AL9" s="25">
        <f t="shared" si="26"/>
        <v>46053</v>
      </c>
      <c r="AM9" s="9" t="str">
        <f t="shared" si="27"/>
        <v>Completed</v>
      </c>
      <c r="AN9" s="23">
        <f t="shared" si="28"/>
        <v>46054</v>
      </c>
      <c r="AO9" s="25">
        <f t="shared" si="29"/>
        <v>46053</v>
      </c>
      <c r="AP9" s="9" t="str">
        <f t="shared" si="30"/>
        <v>No</v>
      </c>
      <c r="AQ9" s="9" t="str">
        <f t="shared" si="31"/>
        <v>Jan-2026</v>
      </c>
      <c r="AR9" s="23">
        <f t="shared" ca="1" si="32"/>
        <v>18</v>
      </c>
    </row>
    <row r="10" spans="3:44" x14ac:dyDescent="0.3">
      <c r="C10" s="2">
        <v>108</v>
      </c>
      <c r="D10" s="1" t="s">
        <v>26</v>
      </c>
      <c r="E10" s="1" t="s">
        <v>21</v>
      </c>
      <c r="F10" s="14">
        <v>46040</v>
      </c>
      <c r="G10" s="14">
        <v>46050</v>
      </c>
      <c r="H10" s="14">
        <v>46049</v>
      </c>
      <c r="I10" s="14">
        <v>46052</v>
      </c>
      <c r="J10" s="1" t="s">
        <v>11</v>
      </c>
      <c r="K10" s="3" t="s">
        <v>12</v>
      </c>
      <c r="L10" s="9">
        <f t="shared" si="0"/>
        <v>2026</v>
      </c>
      <c r="M10" s="9" t="str">
        <f t="shared" si="1"/>
        <v>Jan</v>
      </c>
      <c r="N10" s="9">
        <f t="shared" si="2"/>
        <v>18</v>
      </c>
      <c r="O10" s="9" t="str">
        <f t="shared" si="3"/>
        <v>18-Jan-2026</v>
      </c>
      <c r="P10" s="23">
        <f t="shared" ca="1" si="4"/>
        <v>46155</v>
      </c>
      <c r="Q10" s="24">
        <f t="shared" ca="1" si="5"/>
        <v>46155.549539930558</v>
      </c>
      <c r="R10" s="9">
        <f t="shared" si="6"/>
        <v>10</v>
      </c>
      <c r="S10" s="9">
        <f t="shared" ca="1" si="7"/>
        <v>103</v>
      </c>
      <c r="T10" s="9" t="str">
        <f t="shared" si="8"/>
        <v>Sunday</v>
      </c>
      <c r="U10" s="9" t="str">
        <f t="shared" si="9"/>
        <v>weekday</v>
      </c>
      <c r="V10" s="9">
        <f t="shared" si="10"/>
        <v>1</v>
      </c>
      <c r="W10" s="9">
        <f t="shared" si="11"/>
        <v>8</v>
      </c>
      <c r="X10" s="9">
        <f t="shared" si="12"/>
        <v>3</v>
      </c>
      <c r="Y10" s="9" t="str">
        <f t="shared" si="13"/>
        <v>Delayed</v>
      </c>
      <c r="Z10" s="9">
        <f t="shared" si="14"/>
        <v>3</v>
      </c>
      <c r="AA10" s="25">
        <f t="shared" si="15"/>
        <v>46050</v>
      </c>
      <c r="AB10" s="9">
        <f t="shared" si="16"/>
        <v>8</v>
      </c>
      <c r="AC10" s="9">
        <f t="shared" si="17"/>
        <v>12</v>
      </c>
      <c r="AD10" s="9" t="str">
        <f t="shared" si="18"/>
        <v/>
      </c>
      <c r="AE10" s="25">
        <f t="shared" si="19"/>
        <v>46053</v>
      </c>
      <c r="AF10" s="25">
        <f t="shared" si="20"/>
        <v>46022</v>
      </c>
      <c r="AG10" s="25">
        <f t="shared" si="21"/>
        <v>46081</v>
      </c>
      <c r="AH10" s="9">
        <f t="shared" si="22"/>
        <v>31</v>
      </c>
      <c r="AI10" s="9" t="str">
        <f t="shared" si="23"/>
        <v>Yes</v>
      </c>
      <c r="AJ10" s="9" t="str">
        <f t="shared" si="24"/>
        <v>No</v>
      </c>
      <c r="AK10" s="26">
        <f t="shared" si="25"/>
        <v>13</v>
      </c>
      <c r="AL10" s="25">
        <f t="shared" si="26"/>
        <v>46053</v>
      </c>
      <c r="AM10" s="9" t="str">
        <f t="shared" si="27"/>
        <v>Completed</v>
      </c>
      <c r="AN10" s="23">
        <f t="shared" si="28"/>
        <v>46054</v>
      </c>
      <c r="AO10" s="25">
        <f t="shared" si="29"/>
        <v>46053</v>
      </c>
      <c r="AP10" s="9" t="str">
        <f t="shared" si="30"/>
        <v>No</v>
      </c>
      <c r="AQ10" s="9" t="str">
        <f t="shared" si="31"/>
        <v>Jan-2026</v>
      </c>
      <c r="AR10" s="23">
        <f t="shared" ca="1" si="32"/>
        <v>18</v>
      </c>
    </row>
    <row r="11" spans="3:44" x14ac:dyDescent="0.3">
      <c r="C11" s="2">
        <v>109</v>
      </c>
      <c r="D11" s="1" t="s">
        <v>27</v>
      </c>
      <c r="E11" s="1" t="s">
        <v>17</v>
      </c>
      <c r="F11" s="14">
        <v>46042</v>
      </c>
      <c r="G11" s="14">
        <v>46052</v>
      </c>
      <c r="H11" s="14">
        <v>46051</v>
      </c>
      <c r="I11" s="14"/>
      <c r="J11" s="1" t="s">
        <v>18</v>
      </c>
      <c r="K11" s="3" t="s">
        <v>23</v>
      </c>
      <c r="L11" s="9">
        <f t="shared" si="0"/>
        <v>2026</v>
      </c>
      <c r="M11" s="9" t="str">
        <f t="shared" si="1"/>
        <v>Jan</v>
      </c>
      <c r="N11" s="9">
        <f t="shared" si="2"/>
        <v>20</v>
      </c>
      <c r="O11" s="9" t="str">
        <f t="shared" si="3"/>
        <v>20-Jan-2026</v>
      </c>
      <c r="P11" s="23">
        <f t="shared" ca="1" si="4"/>
        <v>46155</v>
      </c>
      <c r="Q11" s="24">
        <f t="shared" ca="1" si="5"/>
        <v>46155.549539930558</v>
      </c>
      <c r="R11" s="9">
        <f t="shared" si="6"/>
        <v>10</v>
      </c>
      <c r="S11" s="9">
        <f t="shared" ca="1" si="7"/>
        <v>46155</v>
      </c>
      <c r="T11" s="9" t="str">
        <f t="shared" si="8"/>
        <v>Tuesday</v>
      </c>
      <c r="U11" s="9" t="str">
        <f t="shared" si="9"/>
        <v>Weekend</v>
      </c>
      <c r="V11" s="9" t="str">
        <f t="shared" si="10"/>
        <v/>
      </c>
      <c r="W11" s="9">
        <f t="shared" si="11"/>
        <v>9</v>
      </c>
      <c r="X11" s="9" t="str">
        <f t="shared" si="12"/>
        <v/>
      </c>
      <c r="Y11" s="9" t="str">
        <f t="shared" si="13"/>
        <v>On Time</v>
      </c>
      <c r="Z11" s="9" t="str">
        <f t="shared" si="14"/>
        <v/>
      </c>
      <c r="AA11" s="25">
        <f t="shared" si="15"/>
        <v>46052</v>
      </c>
      <c r="AB11" s="9">
        <f t="shared" si="16"/>
        <v>9</v>
      </c>
      <c r="AC11" s="9">
        <f t="shared" si="17"/>
        <v>-46042</v>
      </c>
      <c r="AD11" s="9">
        <f t="shared" ca="1" si="18"/>
        <v>113</v>
      </c>
      <c r="AE11" s="25">
        <f t="shared" si="19"/>
        <v>46053</v>
      </c>
      <c r="AF11" s="25">
        <f t="shared" si="20"/>
        <v>46022</v>
      </c>
      <c r="AG11" s="25">
        <f t="shared" si="21"/>
        <v>46081</v>
      </c>
      <c r="AH11" s="9">
        <f t="shared" si="22"/>
        <v>31</v>
      </c>
      <c r="AI11" s="9" t="str">
        <f t="shared" si="23"/>
        <v>Yes</v>
      </c>
      <c r="AJ11" s="9" t="str">
        <f t="shared" si="24"/>
        <v>No</v>
      </c>
      <c r="AK11" s="26">
        <f t="shared" si="25"/>
        <v>11</v>
      </c>
      <c r="AL11" s="25">
        <f t="shared" si="26"/>
        <v>31</v>
      </c>
      <c r="AM11" s="9" t="str">
        <f t="shared" si="27"/>
        <v/>
      </c>
      <c r="AN11" s="23">
        <f t="shared" si="28"/>
        <v>46054</v>
      </c>
      <c r="AO11" s="25">
        <f t="shared" si="29"/>
        <v>46053</v>
      </c>
      <c r="AP11" s="9" t="str">
        <f t="shared" si="30"/>
        <v>No</v>
      </c>
      <c r="AQ11" s="9" t="str">
        <f t="shared" si="31"/>
        <v>Jan-2026</v>
      </c>
      <c r="AR11" s="23">
        <f t="shared" ca="1" si="32"/>
        <v>18</v>
      </c>
    </row>
    <row r="12" spans="3:44" ht="15" thickBot="1" x14ac:dyDescent="0.35">
      <c r="C12" s="4">
        <v>110</v>
      </c>
      <c r="D12" s="5" t="s">
        <v>28</v>
      </c>
      <c r="E12" s="5" t="s">
        <v>10</v>
      </c>
      <c r="F12" s="15">
        <v>46044</v>
      </c>
      <c r="G12" s="15">
        <v>46055</v>
      </c>
      <c r="H12" s="15">
        <v>46054</v>
      </c>
      <c r="I12" s="15">
        <v>46055</v>
      </c>
      <c r="J12" s="5" t="s">
        <v>11</v>
      </c>
      <c r="K12" s="6" t="s">
        <v>15</v>
      </c>
      <c r="L12" s="9">
        <f t="shared" si="0"/>
        <v>2026</v>
      </c>
      <c r="M12" s="9" t="str">
        <f t="shared" si="1"/>
        <v>Jan</v>
      </c>
      <c r="N12" s="9">
        <f t="shared" si="2"/>
        <v>22</v>
      </c>
      <c r="O12" s="9" t="str">
        <f t="shared" si="3"/>
        <v>22-Jan-2026</v>
      </c>
      <c r="P12" s="23">
        <f t="shared" ca="1" si="4"/>
        <v>46155</v>
      </c>
      <c r="Q12" s="24">
        <f t="shared" ca="1" si="5"/>
        <v>46155.549539930558</v>
      </c>
      <c r="R12" s="9">
        <f t="shared" si="6"/>
        <v>11</v>
      </c>
      <c r="S12" s="9">
        <f t="shared" ca="1" si="7"/>
        <v>100</v>
      </c>
      <c r="T12" s="9" t="str">
        <f t="shared" si="8"/>
        <v>Thursday</v>
      </c>
      <c r="U12" s="9" t="str">
        <f t="shared" si="9"/>
        <v>weekday</v>
      </c>
      <c r="V12" s="9">
        <f t="shared" si="10"/>
        <v>2</v>
      </c>
      <c r="W12" s="9">
        <f t="shared" si="11"/>
        <v>8</v>
      </c>
      <c r="X12" s="9">
        <f t="shared" si="12"/>
        <v>1</v>
      </c>
      <c r="Y12" s="9" t="str">
        <f t="shared" si="13"/>
        <v>Delayed</v>
      </c>
      <c r="Z12" s="9">
        <f t="shared" si="14"/>
        <v>1</v>
      </c>
      <c r="AA12" s="25">
        <f t="shared" si="15"/>
        <v>46055</v>
      </c>
      <c r="AB12" s="9">
        <f t="shared" si="16"/>
        <v>8</v>
      </c>
      <c r="AC12" s="9">
        <f t="shared" si="17"/>
        <v>11</v>
      </c>
      <c r="AD12" s="9" t="str">
        <f t="shared" si="18"/>
        <v/>
      </c>
      <c r="AE12" s="25">
        <f t="shared" si="19"/>
        <v>46053</v>
      </c>
      <c r="AF12" s="25">
        <f t="shared" si="20"/>
        <v>46022</v>
      </c>
      <c r="AG12" s="25">
        <f t="shared" si="21"/>
        <v>46081</v>
      </c>
      <c r="AH12" s="9">
        <f t="shared" si="22"/>
        <v>31</v>
      </c>
      <c r="AI12" s="9" t="str">
        <f t="shared" si="23"/>
        <v>No</v>
      </c>
      <c r="AJ12" s="9" t="str">
        <f t="shared" si="24"/>
        <v>No</v>
      </c>
      <c r="AK12" s="26">
        <f t="shared" si="25"/>
        <v>9</v>
      </c>
      <c r="AL12" s="25">
        <f t="shared" si="26"/>
        <v>46081</v>
      </c>
      <c r="AM12" s="9" t="str">
        <f t="shared" si="27"/>
        <v>Completed</v>
      </c>
      <c r="AN12" s="23">
        <f t="shared" si="28"/>
        <v>46082</v>
      </c>
      <c r="AO12" s="25">
        <f t="shared" si="29"/>
        <v>46053</v>
      </c>
      <c r="AP12" s="9" t="str">
        <f t="shared" si="30"/>
        <v>No</v>
      </c>
      <c r="AQ12" s="9" t="str">
        <f>TEXT(F12,"mmm-yyyy")</f>
        <v>Jan-2026</v>
      </c>
      <c r="AR12" s="23">
        <f t="shared" ca="1" si="32"/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1CA8-FF59-4A1E-A184-27694C37979B}">
  <dimension ref="B2:C39"/>
  <sheetViews>
    <sheetView showGridLines="0" topLeftCell="A9" workbookViewId="0">
      <selection activeCell="B31" sqref="B31"/>
    </sheetView>
  </sheetViews>
  <sheetFormatPr defaultRowHeight="14.4" x14ac:dyDescent="0.3"/>
  <cols>
    <col min="2" max="2" width="74.77734375" customWidth="1"/>
    <col min="3" max="3" width="22.6640625" customWidth="1"/>
  </cols>
  <sheetData>
    <row r="2" spans="2:2" ht="15" thickBot="1" x14ac:dyDescent="0.35"/>
    <row r="3" spans="2:2" ht="15" thickBot="1" x14ac:dyDescent="0.35">
      <c r="B3" s="18" t="s">
        <v>52</v>
      </c>
    </row>
    <row r="4" spans="2:2" x14ac:dyDescent="0.3">
      <c r="B4" s="16" t="s">
        <v>32</v>
      </c>
    </row>
    <row r="5" spans="2:2" x14ac:dyDescent="0.3">
      <c r="B5" s="16" t="s">
        <v>50</v>
      </c>
    </row>
    <row r="6" spans="2:2" x14ac:dyDescent="0.3">
      <c r="B6" s="16" t="s">
        <v>51</v>
      </c>
    </row>
    <row r="7" spans="2:2" x14ac:dyDescent="0.3">
      <c r="B7" s="16" t="s">
        <v>33</v>
      </c>
    </row>
    <row r="8" spans="2:2" x14ac:dyDescent="0.3">
      <c r="B8" s="16" t="s">
        <v>34</v>
      </c>
    </row>
    <row r="9" spans="2:2" x14ac:dyDescent="0.3">
      <c r="B9" s="16" t="s">
        <v>35</v>
      </c>
    </row>
    <row r="10" spans="2:2" x14ac:dyDescent="0.3">
      <c r="B10" s="16" t="s">
        <v>36</v>
      </c>
    </row>
    <row r="11" spans="2:2" x14ac:dyDescent="0.3">
      <c r="B11" s="16" t="s">
        <v>37</v>
      </c>
    </row>
    <row r="12" spans="2:2" x14ac:dyDescent="0.3">
      <c r="B12" s="16" t="s">
        <v>38</v>
      </c>
    </row>
    <row r="13" spans="2:2" x14ac:dyDescent="0.3">
      <c r="B13" s="16" t="s">
        <v>39</v>
      </c>
    </row>
    <row r="14" spans="2:2" x14ac:dyDescent="0.3">
      <c r="B14" s="16" t="s">
        <v>40</v>
      </c>
    </row>
    <row r="15" spans="2:2" x14ac:dyDescent="0.3">
      <c r="B15" s="16" t="s">
        <v>41</v>
      </c>
    </row>
    <row r="16" spans="2:2" x14ac:dyDescent="0.3">
      <c r="B16" s="16" t="s">
        <v>42</v>
      </c>
    </row>
    <row r="17" spans="2:3" x14ac:dyDescent="0.3">
      <c r="B17" s="16" t="s">
        <v>43</v>
      </c>
    </row>
    <row r="18" spans="2:3" x14ac:dyDescent="0.3">
      <c r="B18" s="16" t="s">
        <v>44</v>
      </c>
    </row>
    <row r="19" spans="2:3" x14ac:dyDescent="0.3">
      <c r="B19" s="16" t="s">
        <v>45</v>
      </c>
    </row>
    <row r="20" spans="2:3" x14ac:dyDescent="0.3">
      <c r="B20" s="16" t="s">
        <v>46</v>
      </c>
    </row>
    <row r="21" spans="2:3" x14ac:dyDescent="0.3">
      <c r="B21" s="16" t="s">
        <v>47</v>
      </c>
    </row>
    <row r="22" spans="2:3" ht="15" thickBot="1" x14ac:dyDescent="0.35">
      <c r="B22" s="16" t="s">
        <v>48</v>
      </c>
    </row>
    <row r="23" spans="2:3" x14ac:dyDescent="0.3">
      <c r="B23" s="27" t="s">
        <v>49</v>
      </c>
      <c r="C23" s="19" t="s">
        <v>29</v>
      </c>
    </row>
    <row r="24" spans="2:3" x14ac:dyDescent="0.3">
      <c r="B24" s="28"/>
      <c r="C24" s="20" t="s">
        <v>30</v>
      </c>
    </row>
    <row r="25" spans="2:3" ht="15" thickBot="1" x14ac:dyDescent="0.35">
      <c r="B25" s="29"/>
      <c r="C25" s="21" t="s">
        <v>31</v>
      </c>
    </row>
    <row r="26" spans="2:3" x14ac:dyDescent="0.3">
      <c r="B26" s="16" t="s">
        <v>53</v>
      </c>
    </row>
    <row r="27" spans="2:3" x14ac:dyDescent="0.3">
      <c r="B27" s="16" t="s">
        <v>54</v>
      </c>
    </row>
    <row r="28" spans="2:3" x14ac:dyDescent="0.3">
      <c r="B28" s="16" t="s">
        <v>55</v>
      </c>
    </row>
    <row r="29" spans="2:3" x14ac:dyDescent="0.3">
      <c r="B29" s="16" t="s">
        <v>56</v>
      </c>
    </row>
    <row r="30" spans="2:3" x14ac:dyDescent="0.3">
      <c r="B30" s="16" t="s">
        <v>57</v>
      </c>
    </row>
    <row r="31" spans="2:3" x14ac:dyDescent="0.3">
      <c r="B31" s="16" t="s">
        <v>58</v>
      </c>
    </row>
    <row r="32" spans="2:3" x14ac:dyDescent="0.3">
      <c r="B32" s="16" t="s">
        <v>59</v>
      </c>
    </row>
    <row r="33" spans="2:2" x14ac:dyDescent="0.3">
      <c r="B33" s="16" t="s">
        <v>60</v>
      </c>
    </row>
    <row r="34" spans="2:2" x14ac:dyDescent="0.3">
      <c r="B34" s="16" t="s">
        <v>61</v>
      </c>
    </row>
    <row r="35" spans="2:2" x14ac:dyDescent="0.3">
      <c r="B35" s="16" t="s">
        <v>62</v>
      </c>
    </row>
    <row r="36" spans="2:2" x14ac:dyDescent="0.3">
      <c r="B36" s="16" t="s">
        <v>63</v>
      </c>
    </row>
    <row r="37" spans="2:2" x14ac:dyDescent="0.3">
      <c r="B37" s="16" t="s">
        <v>64</v>
      </c>
    </row>
    <row r="38" spans="2:2" x14ac:dyDescent="0.3">
      <c r="B38" s="16" t="s">
        <v>65</v>
      </c>
    </row>
    <row r="39" spans="2:2" ht="15" thickBot="1" x14ac:dyDescent="0.35">
      <c r="B39" s="17" t="s">
        <v>66</v>
      </c>
    </row>
  </sheetData>
  <mergeCells count="1">
    <mergeCell ref="B23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2026-04-21T06:08:24Z</dcterms:created>
  <dcterms:modified xsi:type="dcterms:W3CDTF">2026-05-13T07:44:36Z</dcterms:modified>
</cp:coreProperties>
</file>